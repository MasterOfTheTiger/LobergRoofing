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or\Desktop\"/>
    </mc:Choice>
  </mc:AlternateContent>
  <bookViews>
    <workbookView xWindow="0" yWindow="0" windowWidth="24000" windowHeight="9510" xr2:uid="{00000000-000D-0000-FFFF-FFFF00000000}"/>
  </bookViews>
  <sheets>
    <sheet name="Sheet1" sheetId="1" r:id="rId1"/>
  </sheets>
  <definedNames>
    <definedName name="Material_Choice">Sheet1!$H$123:$O$123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6" i="1" l="1"/>
  <c r="I55" i="1" l="1"/>
  <c r="H55" i="1"/>
  <c r="G55" i="1"/>
  <c r="F55" i="1"/>
  <c r="E55" i="1"/>
  <c r="D55" i="1"/>
  <c r="N122" i="1" l="1"/>
  <c r="M122" i="1"/>
  <c r="O79" i="1"/>
  <c r="O80" i="1"/>
  <c r="O81" i="1"/>
  <c r="O82" i="1"/>
  <c r="N54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94" i="1"/>
  <c r="N95" i="1"/>
  <c r="N96" i="1"/>
  <c r="N97" i="1"/>
  <c r="N98" i="1"/>
  <c r="N99" i="1"/>
  <c r="N100" i="1"/>
  <c r="N101" i="1"/>
  <c r="N102" i="1"/>
  <c r="N103" i="1"/>
  <c r="N105" i="1"/>
  <c r="N84" i="1"/>
  <c r="N108" i="1"/>
  <c r="N109" i="1"/>
  <c r="N110" i="1"/>
  <c r="N111" i="1"/>
  <c r="N112" i="1"/>
  <c r="N113" i="1"/>
  <c r="N114" i="1"/>
  <c r="N117" i="1"/>
  <c r="N118" i="1"/>
  <c r="N119" i="1"/>
  <c r="N120" i="1"/>
  <c r="N121" i="1"/>
  <c r="M54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94" i="1"/>
  <c r="M95" i="1"/>
  <c r="M96" i="1"/>
  <c r="M97" i="1"/>
  <c r="M98" i="1"/>
  <c r="M99" i="1"/>
  <c r="M100" i="1"/>
  <c r="M101" i="1"/>
  <c r="M102" i="1"/>
  <c r="M103" i="1"/>
  <c r="M105" i="1"/>
  <c r="M84" i="1"/>
  <c r="M108" i="1"/>
  <c r="M109" i="1"/>
  <c r="M110" i="1"/>
  <c r="M111" i="1"/>
  <c r="M112" i="1"/>
  <c r="M113" i="1"/>
  <c r="M114" i="1"/>
  <c r="M117" i="1"/>
  <c r="M118" i="1"/>
  <c r="M119" i="1"/>
  <c r="M120" i="1"/>
  <c r="M121" i="1"/>
  <c r="L79" i="1"/>
  <c r="L80" i="1"/>
  <c r="L81" i="1"/>
  <c r="L82" i="1"/>
  <c r="K79" i="1"/>
  <c r="K80" i="1"/>
  <c r="K81" i="1"/>
  <c r="K82" i="1"/>
  <c r="J79" i="1"/>
  <c r="J80" i="1"/>
  <c r="J81" i="1"/>
  <c r="J82" i="1"/>
  <c r="B116" i="1"/>
  <c r="L116" i="1" s="1"/>
  <c r="L122" i="1"/>
  <c r="L121" i="1"/>
  <c r="L120" i="1"/>
  <c r="L119" i="1"/>
  <c r="L118" i="1"/>
  <c r="L117" i="1"/>
  <c r="L114" i="1"/>
  <c r="L113" i="1"/>
  <c r="L112" i="1"/>
  <c r="L111" i="1"/>
  <c r="L110" i="1"/>
  <c r="L109" i="1"/>
  <c r="L108" i="1"/>
  <c r="L84" i="1"/>
  <c r="L105" i="1"/>
  <c r="L103" i="1"/>
  <c r="L102" i="1"/>
  <c r="L101" i="1"/>
  <c r="L100" i="1"/>
  <c r="L99" i="1"/>
  <c r="L98" i="1"/>
  <c r="L97" i="1"/>
  <c r="L96" i="1"/>
  <c r="L95" i="1"/>
  <c r="L94" i="1"/>
  <c r="L83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4" i="1"/>
  <c r="K122" i="1"/>
  <c r="K121" i="1"/>
  <c r="K120" i="1"/>
  <c r="K119" i="1"/>
  <c r="K118" i="1"/>
  <c r="K117" i="1"/>
  <c r="K114" i="1"/>
  <c r="K113" i="1"/>
  <c r="K112" i="1"/>
  <c r="K111" i="1"/>
  <c r="K110" i="1"/>
  <c r="K109" i="1"/>
  <c r="K108" i="1"/>
  <c r="K84" i="1"/>
  <c r="K105" i="1"/>
  <c r="K103" i="1"/>
  <c r="K102" i="1"/>
  <c r="K101" i="1"/>
  <c r="K100" i="1"/>
  <c r="K99" i="1"/>
  <c r="K98" i="1"/>
  <c r="K97" i="1"/>
  <c r="K96" i="1"/>
  <c r="K95" i="1"/>
  <c r="K94" i="1"/>
  <c r="K83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4" i="1"/>
  <c r="O122" i="1"/>
  <c r="O121" i="1"/>
  <c r="O120" i="1"/>
  <c r="O119" i="1"/>
  <c r="O118" i="1"/>
  <c r="O117" i="1"/>
  <c r="O114" i="1"/>
  <c r="O113" i="1"/>
  <c r="O112" i="1"/>
  <c r="O111" i="1"/>
  <c r="O110" i="1"/>
  <c r="O109" i="1"/>
  <c r="O108" i="1"/>
  <c r="O84" i="1"/>
  <c r="O105" i="1"/>
  <c r="O103" i="1"/>
  <c r="O102" i="1"/>
  <c r="O101" i="1"/>
  <c r="O100" i="1"/>
  <c r="O99" i="1"/>
  <c r="O98" i="1"/>
  <c r="O97" i="1"/>
  <c r="O96" i="1"/>
  <c r="O95" i="1"/>
  <c r="O94" i="1"/>
  <c r="O83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4" i="1"/>
  <c r="J122" i="1"/>
  <c r="J121" i="1"/>
  <c r="J120" i="1"/>
  <c r="J119" i="1"/>
  <c r="J118" i="1"/>
  <c r="J117" i="1"/>
  <c r="J114" i="1"/>
  <c r="J113" i="1"/>
  <c r="J112" i="1"/>
  <c r="J111" i="1"/>
  <c r="J110" i="1"/>
  <c r="J109" i="1"/>
  <c r="J108" i="1"/>
  <c r="J84" i="1"/>
  <c r="J105" i="1"/>
  <c r="J103" i="1"/>
  <c r="J102" i="1"/>
  <c r="J101" i="1"/>
  <c r="J100" i="1"/>
  <c r="J99" i="1"/>
  <c r="J98" i="1"/>
  <c r="J97" i="1"/>
  <c r="J96" i="1"/>
  <c r="J95" i="1"/>
  <c r="J94" i="1"/>
  <c r="J83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4" i="1"/>
  <c r="O116" i="1" l="1"/>
  <c r="K116" i="1"/>
  <c r="M116" i="1"/>
  <c r="J116" i="1"/>
  <c r="N116" i="1"/>
  <c r="B36" i="1"/>
  <c r="B16" i="1"/>
  <c r="B17" i="1" s="1"/>
  <c r="J4" i="1"/>
  <c r="B7" i="1"/>
  <c r="H12" i="1"/>
  <c r="H14" i="1" s="1"/>
  <c r="H13" i="1" l="1"/>
  <c r="H15" i="1" s="1"/>
  <c r="B107" i="1"/>
  <c r="B53" i="1"/>
  <c r="B50" i="1"/>
  <c r="B58" i="1"/>
  <c r="B52" i="1"/>
  <c r="B51" i="1"/>
  <c r="L51" i="1" s="1"/>
  <c r="B57" i="1"/>
  <c r="B48" i="1"/>
  <c r="B55" i="1"/>
  <c r="B49" i="1"/>
  <c r="B56" i="1"/>
  <c r="K56" i="1" s="1"/>
  <c r="O51" i="1"/>
  <c r="N51" i="1"/>
  <c r="K51" i="1"/>
  <c r="J51" i="1"/>
  <c r="J56" i="1"/>
  <c r="H16" i="1"/>
  <c r="E129" i="1"/>
  <c r="B89" i="1" l="1"/>
  <c r="B92" i="1"/>
  <c r="B88" i="1"/>
  <c r="B91" i="1"/>
  <c r="B90" i="1"/>
  <c r="O56" i="1"/>
  <c r="M51" i="1"/>
  <c r="L56" i="1"/>
  <c r="N56" i="1"/>
  <c r="M56" i="1"/>
  <c r="J52" i="1"/>
  <c r="N52" i="1"/>
  <c r="O52" i="1"/>
  <c r="K52" i="1"/>
  <c r="M52" i="1"/>
  <c r="L52" i="1"/>
  <c r="J107" i="1"/>
  <c r="N107" i="1"/>
  <c r="M107" i="1"/>
  <c r="L107" i="1"/>
  <c r="K107" i="1"/>
  <c r="O107" i="1"/>
  <c r="N58" i="1"/>
  <c r="M58" i="1"/>
  <c r="L58" i="1"/>
  <c r="O58" i="1"/>
  <c r="J58" i="1"/>
  <c r="K58" i="1"/>
  <c r="M57" i="1"/>
  <c r="K57" i="1"/>
  <c r="L57" i="1"/>
  <c r="N57" i="1"/>
  <c r="O57" i="1"/>
  <c r="J57" i="1"/>
  <c r="N49" i="1"/>
  <c r="L49" i="1"/>
  <c r="M49" i="1"/>
  <c r="O49" i="1"/>
  <c r="J49" i="1"/>
  <c r="K49" i="1"/>
  <c r="M53" i="1"/>
  <c r="J53" i="1"/>
  <c r="K53" i="1"/>
  <c r="L53" i="1"/>
  <c r="N53" i="1"/>
  <c r="O53" i="1"/>
  <c r="J55" i="1"/>
  <c r="N55" i="1"/>
  <c r="M55" i="1"/>
  <c r="O55" i="1"/>
  <c r="K55" i="1"/>
  <c r="L55" i="1"/>
  <c r="O50" i="1"/>
  <c r="J50" i="1"/>
  <c r="N50" i="1"/>
  <c r="K50" i="1"/>
  <c r="M50" i="1"/>
  <c r="L50" i="1"/>
  <c r="N48" i="1"/>
  <c r="M48" i="1"/>
  <c r="L48" i="1"/>
  <c r="K48" i="1"/>
  <c r="O48" i="1"/>
  <c r="J48" i="1"/>
  <c r="J3" i="1"/>
  <c r="J7" i="1"/>
  <c r="J8" i="1" s="1"/>
  <c r="H7" i="1"/>
  <c r="J9" i="1" s="1"/>
  <c r="B104" i="1" l="1"/>
  <c r="B86" i="1"/>
  <c r="N115" i="1"/>
  <c r="L115" i="1"/>
  <c r="K115" i="1"/>
  <c r="O115" i="1"/>
  <c r="J115" i="1"/>
  <c r="M115" i="1"/>
  <c r="N91" i="1"/>
  <c r="M91" i="1"/>
  <c r="L91" i="1"/>
  <c r="O91" i="1"/>
  <c r="J91" i="1"/>
  <c r="K91" i="1"/>
  <c r="L88" i="1"/>
  <c r="J88" i="1"/>
  <c r="N88" i="1"/>
  <c r="M88" i="1"/>
  <c r="O88" i="1"/>
  <c r="K88" i="1"/>
  <c r="N92" i="1"/>
  <c r="M92" i="1"/>
  <c r="O92" i="1"/>
  <c r="J92" i="1"/>
  <c r="K92" i="1"/>
  <c r="L92" i="1"/>
  <c r="J89" i="1"/>
  <c r="O89" i="1"/>
  <c r="N89" i="1"/>
  <c r="K89" i="1"/>
  <c r="M89" i="1"/>
  <c r="L89" i="1"/>
  <c r="M90" i="1"/>
  <c r="J90" i="1"/>
  <c r="K90" i="1"/>
  <c r="L90" i="1"/>
  <c r="N90" i="1"/>
  <c r="O90" i="1"/>
  <c r="J10" i="1"/>
  <c r="B87" i="1" s="1"/>
  <c r="J2" i="1"/>
  <c r="J5" i="1" s="1"/>
  <c r="B85" i="1" s="1"/>
  <c r="N86" i="1" l="1"/>
  <c r="K86" i="1"/>
  <c r="J86" i="1"/>
  <c r="M86" i="1"/>
  <c r="L86" i="1"/>
  <c r="O86" i="1"/>
  <c r="M104" i="1"/>
  <c r="L104" i="1"/>
  <c r="K104" i="1"/>
  <c r="O104" i="1"/>
  <c r="J104" i="1"/>
  <c r="N104" i="1"/>
  <c r="O106" i="1"/>
  <c r="N106" i="1"/>
  <c r="K106" i="1"/>
  <c r="M106" i="1"/>
  <c r="L106" i="1"/>
  <c r="J106" i="1"/>
  <c r="N85" i="1"/>
  <c r="K85" i="1"/>
  <c r="M85" i="1"/>
  <c r="L85" i="1"/>
  <c r="O85" i="1"/>
  <c r="J85" i="1"/>
  <c r="N87" i="1"/>
  <c r="K87" i="1"/>
  <c r="M87" i="1"/>
  <c r="L87" i="1"/>
  <c r="O87" i="1"/>
  <c r="J87" i="1"/>
  <c r="B23" i="1"/>
  <c r="B24" i="1"/>
  <c r="N123" i="1" l="1"/>
  <c r="L123" i="1"/>
  <c r="M123" i="1"/>
  <c r="K123" i="1"/>
  <c r="G40" i="1"/>
  <c r="E126" i="1" l="1"/>
  <c r="E127" i="1"/>
  <c r="E128" i="1"/>
  <c r="F41" i="1"/>
  <c r="F40" i="1"/>
  <c r="H40" i="1" s="1"/>
  <c r="F39" i="1"/>
  <c r="F38" i="1"/>
  <c r="B37" i="1"/>
  <c r="B8" i="1" s="1"/>
  <c r="B125" i="1" s="1"/>
  <c r="E125" i="1" s="1"/>
  <c r="F36" i="1"/>
  <c r="G41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B35" i="1"/>
  <c r="F35" i="1" s="1"/>
  <c r="B34" i="1"/>
  <c r="F34" i="1" s="1"/>
  <c r="B33" i="1"/>
  <c r="F33" i="1" s="1"/>
  <c r="B32" i="1"/>
  <c r="F32" i="1" s="1"/>
  <c r="B31" i="1"/>
  <c r="F31" i="1" s="1"/>
  <c r="B30" i="1"/>
  <c r="F30" i="1" s="1"/>
  <c r="B29" i="1"/>
  <c r="F29" i="1" s="1"/>
  <c r="B28" i="1"/>
  <c r="F28" i="1" s="1"/>
  <c r="B27" i="1"/>
  <c r="F27" i="1" s="1"/>
  <c r="B26" i="1"/>
  <c r="F26" i="1" s="1"/>
  <c r="B25" i="1"/>
  <c r="F25" i="1" s="1"/>
  <c r="F24" i="1"/>
  <c r="F23" i="1"/>
  <c r="H24" i="1" l="1"/>
  <c r="H28" i="1"/>
  <c r="H32" i="1"/>
  <c r="H41" i="1"/>
  <c r="F37" i="1"/>
  <c r="F42" i="1" s="1"/>
  <c r="H38" i="1"/>
  <c r="H39" i="1"/>
  <c r="H26" i="1"/>
  <c r="H30" i="1"/>
  <c r="H34" i="1"/>
  <c r="H23" i="1"/>
  <c r="H27" i="1"/>
  <c r="H31" i="1"/>
  <c r="H35" i="1"/>
  <c r="H132" i="1"/>
  <c r="H25" i="1"/>
  <c r="H29" i="1"/>
  <c r="H33" i="1"/>
  <c r="H36" i="1"/>
  <c r="H37" i="1" l="1"/>
  <c r="H42" i="1" s="1"/>
  <c r="H131" i="1" s="1"/>
  <c r="H133" i="1" s="1"/>
  <c r="H136" i="1" s="1"/>
  <c r="O136" i="1" s="1"/>
  <c r="O131" i="1"/>
  <c r="O132" i="1" l="1"/>
  <c r="O133" i="1" s="1"/>
  <c r="O134" i="1" s="1"/>
  <c r="O123" i="1" l="1"/>
  <c r="J123" i="1"/>
</calcChain>
</file>

<file path=xl/sharedStrings.xml><?xml version="1.0" encoding="utf-8"?>
<sst xmlns="http://schemas.openxmlformats.org/spreadsheetml/2006/main" count="336" uniqueCount="187">
  <si>
    <t>MOB/DEMOB</t>
  </si>
  <si>
    <t>MH/SQ</t>
  </si>
  <si>
    <t>MATERIAL HANDLING</t>
  </si>
  <si>
    <t xml:space="preserve">LOOSE LAY INSULATION </t>
  </si>
  <si>
    <t>CLEAN UP</t>
  </si>
  <si>
    <t>POLY VAPOR BARRIER</t>
  </si>
  <si>
    <t>POLY MAT SLIP SHEET</t>
  </si>
  <si>
    <t>SELF ADHERING BARRIER</t>
  </si>
  <si>
    <t>DETAIL LABOR</t>
  </si>
  <si>
    <t>TERMINATION BAR LABOR</t>
  </si>
  <si>
    <t>METAL COPING LABOR</t>
  </si>
  <si>
    <t>MH/LF</t>
  </si>
  <si>
    <t>WALK PAD LABOR</t>
  </si>
  <si>
    <t>FULLY ADHERED INSULATION</t>
  </si>
  <si>
    <t xml:space="preserve">TOTAL LABOR </t>
  </si>
  <si>
    <t>FULLY ADHERE MEMBRANE</t>
  </si>
  <si>
    <t>6MIL POLY (20'X100')</t>
  </si>
  <si>
    <t>TAPER SYSTEM</t>
  </si>
  <si>
    <t>POLYISO INSULATION</t>
  </si>
  <si>
    <t>1/4" SECUROCK GLASS MAT</t>
  </si>
  <si>
    <t>1/4" SECUROCK GYPSUM</t>
  </si>
  <si>
    <t>1/2" HD COVERBOARD</t>
  </si>
  <si>
    <t>Q PANELS</t>
  </si>
  <si>
    <t>X PANELS</t>
  </si>
  <si>
    <t>Y PANELS</t>
  </si>
  <si>
    <t>AA PANELS</t>
  </si>
  <si>
    <t>A PANELS</t>
  </si>
  <si>
    <t xml:space="preserve">B PANELS </t>
  </si>
  <si>
    <t>C PANELS</t>
  </si>
  <si>
    <t>2" PANELS</t>
  </si>
  <si>
    <t>MISC. FASTENERS</t>
  </si>
  <si>
    <t>3" INSULATION PLATES</t>
  </si>
  <si>
    <t>2 3/8" BARBED SEAM PLATES</t>
  </si>
  <si>
    <t>2" INSULATION PLATES</t>
  </si>
  <si>
    <t>60MIL TPO</t>
  </si>
  <si>
    <t>45MIL TPO</t>
  </si>
  <si>
    <t>80MIL TPO</t>
  </si>
  <si>
    <t>60MIL FB TPO</t>
  </si>
  <si>
    <t>80MIL FB TPO</t>
  </si>
  <si>
    <t>SPLIT PIPE BOOTS</t>
  </si>
  <si>
    <t>CUSTOM FLASHING</t>
  </si>
  <si>
    <t>THRU WALL SCUPPERS</t>
  </si>
  <si>
    <t>24" UNSUPPORTED</t>
  </si>
  <si>
    <t>CLAD METAL</t>
  </si>
  <si>
    <t>TERMINATION BAR</t>
  </si>
  <si>
    <t>COPING METAL</t>
  </si>
  <si>
    <t>WATER BLOCK</t>
  </si>
  <si>
    <t>FLEX SEAL</t>
  </si>
  <si>
    <t>CUT EDGE SEALANT</t>
  </si>
  <si>
    <t>RUSS STRIP</t>
  </si>
  <si>
    <t>6" COVER TAPE</t>
  </si>
  <si>
    <t>POURABLE SEALER</t>
  </si>
  <si>
    <t>TOTAL MATERIALS</t>
  </si>
  <si>
    <t>NUMBER OF STORIES</t>
  </si>
  <si>
    <t>EXISTING ROOF TYPE</t>
  </si>
  <si>
    <t>TYPE OF SUBSTRATE</t>
  </si>
  <si>
    <t>TEAROFF</t>
  </si>
  <si>
    <t>OTHER COSTS</t>
  </si>
  <si>
    <t>DUMP FEES</t>
  </si>
  <si>
    <t>PERMITTING</t>
  </si>
  <si>
    <t>LABOR</t>
  </si>
  <si>
    <t>MATERIALS</t>
  </si>
  <si>
    <t>CREW SIZE</t>
  </si>
  <si>
    <t>MAN HOUR COST</t>
  </si>
  <si>
    <t xml:space="preserve">PROJECT NAME </t>
  </si>
  <si>
    <t>LOCATION</t>
  </si>
  <si>
    <t>WOOD</t>
  </si>
  <si>
    <t>NEW</t>
  </si>
  <si>
    <t>QTY</t>
  </si>
  <si>
    <t>ROLL</t>
  </si>
  <si>
    <t>SQS</t>
  </si>
  <si>
    <t>LS</t>
  </si>
  <si>
    <t>EA</t>
  </si>
  <si>
    <t>BOX</t>
  </si>
  <si>
    <t>T-JOINT PATCHES (100)</t>
  </si>
  <si>
    <t>PAIL</t>
  </si>
  <si>
    <t>GAL</t>
  </si>
  <si>
    <t>LF</t>
  </si>
  <si>
    <t>AREA</t>
  </si>
  <si>
    <t>MH COST</t>
  </si>
  <si>
    <t>UNIT</t>
  </si>
  <si>
    <t>MH</t>
  </si>
  <si>
    <t>ABC FS</t>
  </si>
  <si>
    <t>ABC GAF</t>
  </si>
  <si>
    <t>RSG FS</t>
  </si>
  <si>
    <t>TON</t>
  </si>
  <si>
    <t>SUBTOTAL MATERIALS</t>
  </si>
  <si>
    <t>SUBTOTAL LABOR</t>
  </si>
  <si>
    <t>TOTAL LABOR &amp; MATERIALS</t>
  </si>
  <si>
    <t>MARK-UP</t>
  </si>
  <si>
    <t>TOTAL JOB COST</t>
  </si>
  <si>
    <t>WALK PADS</t>
  </si>
  <si>
    <t>FT</t>
  </si>
  <si>
    <t>MHRS</t>
  </si>
  <si>
    <t>TOTAL COST</t>
  </si>
  <si>
    <t>OUTSIDE WALL LABOR</t>
  </si>
  <si>
    <t>INSIDE WALL LABOR</t>
  </si>
  <si>
    <t>WARRANTY</t>
  </si>
  <si>
    <t>CRANE</t>
  </si>
  <si>
    <t>EMPTY</t>
  </si>
  <si>
    <t>COST</t>
  </si>
  <si>
    <t>TOTAL</t>
  </si>
  <si>
    <t>Supplier</t>
  </si>
  <si>
    <t>ABC_GAF</t>
  </si>
  <si>
    <t>TOTAL MHRS</t>
  </si>
  <si>
    <t>CREW DAYS</t>
  </si>
  <si>
    <t>MAN DAYS</t>
  </si>
  <si>
    <t>SQUARES/DAY</t>
  </si>
  <si>
    <t>PRICE PER SQ</t>
  </si>
  <si>
    <t>INSULATION FASTENING</t>
  </si>
  <si>
    <t>FIELD</t>
  </si>
  <si>
    <t>PERIMETER</t>
  </si>
  <si>
    <t>CORNERS</t>
  </si>
  <si>
    <t>MEMBRANE FASTENING</t>
  </si>
  <si>
    <t>INSEAM</t>
  </si>
  <si>
    <t>WASTE FACTOR</t>
  </si>
  <si>
    <t>EA/ FT</t>
  </si>
  <si>
    <t>INSIDE/OUTSIDE CORNERS</t>
  </si>
  <si>
    <t>1"-6" PIPE BOOTS</t>
  </si>
  <si>
    <t>INSEAM PLATES</t>
  </si>
  <si>
    <t>PERIMETER PLATES</t>
  </si>
  <si>
    <t>PER/SQ</t>
  </si>
  <si>
    <t>&lt;EMPTY&gt;</t>
  </si>
  <si>
    <t>ROOF SIZE</t>
  </si>
  <si>
    <t>OUTSIDE PERIMETER</t>
  </si>
  <si>
    <t>INSIDE PERIMETER</t>
  </si>
  <si>
    <t>WALL HEIGHT</t>
  </si>
  <si>
    <t>WIP 300 (2 SQS)</t>
  </si>
  <si>
    <t>TL/SQS</t>
  </si>
  <si>
    <t>MH/CRS</t>
  </si>
  <si>
    <t>OUTSIDE ROOF CORNERS</t>
  </si>
  <si>
    <t xml:space="preserve">          </t>
  </si>
  <si>
    <t xml:space="preserve">            ROOF LAP WASTE</t>
  </si>
  <si>
    <t>WALL LAP WASTE</t>
  </si>
  <si>
    <t>TOTAL WALL AREA</t>
  </si>
  <si>
    <t>ROOF TOTAL + WASTE</t>
  </si>
  <si>
    <t>WALL TOTAL + WASTE</t>
  </si>
  <si>
    <t>CREW HOUR HOST</t>
  </si>
  <si>
    <t>CREW DAY COST</t>
  </si>
  <si>
    <t>HOURS PER DAY</t>
  </si>
  <si>
    <t>WALL CORNER LABOR</t>
  </si>
  <si>
    <t xml:space="preserve">                  </t>
  </si>
  <si>
    <t>BONDING ADHESIVE</t>
  </si>
  <si>
    <t>BONDING ADHESIVE WALLS</t>
  </si>
  <si>
    <t>MECHANICALLY FASTEN MEM.</t>
  </si>
  <si>
    <t>MECHANICALLY FASTEN INS.</t>
  </si>
  <si>
    <t>TOTAL ROOF SQS W/ WALLS</t>
  </si>
  <si>
    <t>POLYSTICK IR-XE (2 SQS)</t>
  </si>
  <si>
    <t>CDS FS</t>
  </si>
  <si>
    <t>RSG GAF</t>
  </si>
  <si>
    <t>CDS GAF</t>
  </si>
  <si>
    <t>TOTALS</t>
  </si>
  <si>
    <t>ABC/FS</t>
  </si>
  <si>
    <t>RSG/FS</t>
  </si>
  <si>
    <t>CDS/FS</t>
  </si>
  <si>
    <t>ABC/GAF</t>
  </si>
  <si>
    <t>RSG/GAF</t>
  </si>
  <si>
    <t>CDS/GAF</t>
  </si>
  <si>
    <t>4" #14 FASTENERS</t>
  </si>
  <si>
    <t>5" #14 FASTENERS</t>
  </si>
  <si>
    <t>6" #14 FASTENERS</t>
  </si>
  <si>
    <t>7" #14 FASTENERS</t>
  </si>
  <si>
    <t>8" #14 FASTENERS</t>
  </si>
  <si>
    <t>9" #14 FASTENERS</t>
  </si>
  <si>
    <t>10" #14 FASTENERS</t>
  </si>
  <si>
    <t>11" #14 FASTENERS</t>
  </si>
  <si>
    <t>12" #14 FASTENERS</t>
  </si>
  <si>
    <t>14" #14 FASTENERS</t>
  </si>
  <si>
    <t>18" #14 FASTENERS</t>
  </si>
  <si>
    <t xml:space="preserve">16" #14 FASTENERS </t>
  </si>
  <si>
    <t xml:space="preserve">20" #14 FASTENERS </t>
  </si>
  <si>
    <t>1 3/4" #14 FASTENERS</t>
  </si>
  <si>
    <t>POURABLE SEALER POCKET</t>
  </si>
  <si>
    <t>4" EASY FLAPPER (FLASHCO)</t>
  </si>
  <si>
    <t>ONE WAY VENTS (FLASHCO)</t>
  </si>
  <si>
    <t>8" RVO VENTS (FLASHCO)</t>
  </si>
  <si>
    <t>MEMBRANE PRIMER (1GAL)</t>
  </si>
  <si>
    <t>MEMBRANE CLEANER (1GAL)</t>
  </si>
  <si>
    <t xml:space="preserve">INSULATION ADHESIVE </t>
  </si>
  <si>
    <t>2" #14 FASTENERS (PER 1000)</t>
  </si>
  <si>
    <t xml:space="preserve">3" #14 FASTENERS </t>
  </si>
  <si>
    <t>INSULATION THICKNESS</t>
  </si>
  <si>
    <t>FULLY ADHERED SYSTEM</t>
  </si>
  <si>
    <t>MECHANICALLY FASTEN SYSTEM</t>
  </si>
  <si>
    <t>FIRESTONE V FORCE (4.5 SQS)</t>
  </si>
  <si>
    <t>GAF LIBERTY SA (2 SQS)</t>
  </si>
  <si>
    <t>POLY MAT (45 SQS)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</si>
</sst>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7" formatCode="&quot;$&quot;#,##0.00_);\(&quot;$&quot;#,##0.00\)"/>
    <numFmt numFmtId="44" formatCode="_(&quot;$&quot;* #,##0.00_);_(&quot;$&quot;* \(#,##0.00\);_(&quot;$&quot;* &quot;-&quot;??_);_(@_)"/>
    <numFmt numFmtId="164" formatCode="0.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name val="Calibri"/>
      <family val="2"/>
      <scheme val="minor"/>
    </font>
    <font>
      <sz val="6"/>
      <color rgb="FFFF0000"/>
      <name val="Calibri"/>
      <family val="2"/>
      <scheme val="minor"/>
    </font>
    <font>
      <sz val="6"/>
      <name val="Calibri"/>
      <family val="2"/>
      <scheme val="minor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7"/>
      <color rgb="FFFF0000"/>
      <name val="Calibri"/>
      <family val="2"/>
      <scheme val="minor"/>
    </font>
    <font>
      <sz val="5.5"/>
      <color theme="1"/>
      <name val="Calibri"/>
      <family val="2"/>
      <scheme val="minor"/>
    </font>
    <font>
      <b/>
      <u/>
      <sz val="8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1">
    <xf numFmtId="0" fontId="0" fillId="0" borderId="0" xfId="0"/>
    <xf numFmtId="0" fontId="2" fillId="5" borderId="6" xfId="0" applyFont="1" applyFill="1" applyBorder="1"/>
    <xf numFmtId="0" fontId="3" fillId="5" borderId="5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left"/>
    </xf>
    <xf numFmtId="0" fontId="2" fillId="5" borderId="12" xfId="0" applyFont="1" applyFill="1" applyBorder="1" applyAlignment="1">
      <alignment horizontal="center"/>
    </xf>
    <xf numFmtId="0" fontId="2" fillId="5" borderId="5" xfId="0" applyFont="1" applyFill="1" applyBorder="1"/>
    <xf numFmtId="0" fontId="2" fillId="5" borderId="7" xfId="0" applyFont="1" applyFill="1" applyBorder="1"/>
    <xf numFmtId="0" fontId="5" fillId="5" borderId="0" xfId="0" applyFont="1" applyFill="1" applyBorder="1" applyAlignment="1">
      <alignment horizontal="center"/>
    </xf>
    <xf numFmtId="0" fontId="2" fillId="5" borderId="0" xfId="0" applyFont="1" applyFill="1" applyBorder="1" applyAlignment="1">
      <alignment horizontal="center"/>
    </xf>
    <xf numFmtId="0" fontId="6" fillId="5" borderId="0" xfId="0" applyFont="1" applyFill="1" applyBorder="1" applyAlignment="1">
      <alignment horizontal="left"/>
    </xf>
    <xf numFmtId="0" fontId="7" fillId="5" borderId="0" xfId="0" applyFont="1" applyFill="1" applyBorder="1" applyAlignment="1">
      <alignment horizontal="center"/>
    </xf>
    <xf numFmtId="0" fontId="6" fillId="5" borderId="0" xfId="0" applyFont="1" applyFill="1" applyBorder="1" applyAlignment="1">
      <alignment horizontal="center"/>
    </xf>
    <xf numFmtId="1" fontId="6" fillId="5" borderId="0" xfId="0" applyNumberFormat="1" applyFont="1" applyFill="1" applyBorder="1" applyAlignment="1">
      <alignment horizontal="center"/>
    </xf>
    <xf numFmtId="0" fontId="2" fillId="5" borderId="13" xfId="0" applyFont="1" applyFill="1" applyBorder="1" applyAlignment="1">
      <alignment horizontal="center"/>
    </xf>
    <xf numFmtId="0" fontId="2" fillId="5" borderId="0" xfId="0" applyFont="1" applyFill="1" applyBorder="1"/>
    <xf numFmtId="0" fontId="6" fillId="0" borderId="7" xfId="0" applyFont="1" applyBorder="1"/>
    <xf numFmtId="0" fontId="6" fillId="0" borderId="0" xfId="0" applyFont="1" applyBorder="1" applyAlignment="1">
      <alignment horizontal="center"/>
    </xf>
    <xf numFmtId="0" fontId="6" fillId="0" borderId="0" xfId="0" applyFont="1" applyBorder="1" applyAlignment="1">
      <alignment horizontal="left"/>
    </xf>
    <xf numFmtId="1" fontId="6" fillId="0" borderId="0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0" xfId="0" applyFont="1" applyBorder="1"/>
    <xf numFmtId="0" fontId="6" fillId="0" borderId="0" xfId="0" applyNumberFormat="1" applyFont="1" applyBorder="1" applyAlignment="1">
      <alignment horizontal="center"/>
    </xf>
    <xf numFmtId="0" fontId="8" fillId="5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2" fontId="6" fillId="0" borderId="0" xfId="2" applyNumberFormat="1" applyFont="1" applyBorder="1" applyAlignment="1">
      <alignment horizontal="center"/>
    </xf>
    <xf numFmtId="2" fontId="6" fillId="0" borderId="0" xfId="0" applyNumberFormat="1" applyFont="1" applyBorder="1" applyAlignment="1">
      <alignment horizontal="center"/>
    </xf>
    <xf numFmtId="44" fontId="9" fillId="0" borderId="0" xfId="1" applyFont="1" applyBorder="1" applyAlignment="1">
      <alignment horizontal="center"/>
    </xf>
    <xf numFmtId="1" fontId="7" fillId="0" borderId="0" xfId="1" applyNumberFormat="1" applyFont="1" applyBorder="1" applyAlignment="1">
      <alignment horizontal="center"/>
    </xf>
    <xf numFmtId="44" fontId="10" fillId="0" borderId="0" xfId="1" applyFont="1" applyBorder="1" applyAlignment="1">
      <alignment horizontal="center"/>
    </xf>
    <xf numFmtId="0" fontId="4" fillId="2" borderId="8" xfId="0" applyFont="1" applyFill="1" applyBorder="1"/>
    <xf numFmtId="0" fontId="4" fillId="2" borderId="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0" borderId="2" xfId="0" applyFont="1" applyFill="1" applyBorder="1"/>
    <xf numFmtId="6" fontId="6" fillId="0" borderId="0" xfId="0" applyNumberFormat="1" applyFont="1" applyBorder="1" applyAlignment="1">
      <alignment horizontal="center"/>
    </xf>
    <xf numFmtId="44" fontId="6" fillId="0" borderId="0" xfId="1" applyFont="1" applyBorder="1" applyAlignment="1">
      <alignment horizontal="center"/>
    </xf>
    <xf numFmtId="44" fontId="11" fillId="0" borderId="0" xfId="1" applyFont="1" applyBorder="1" applyAlignment="1">
      <alignment horizontal="center"/>
    </xf>
    <xf numFmtId="0" fontId="7" fillId="0" borderId="0" xfId="0" applyNumberFormat="1" applyFont="1" applyBorder="1" applyAlignment="1">
      <alignment horizontal="center"/>
    </xf>
    <xf numFmtId="0" fontId="6" fillId="4" borderId="25" xfId="0" applyFont="1" applyFill="1" applyBorder="1"/>
    <xf numFmtId="0" fontId="6" fillId="4" borderId="26" xfId="0" applyFont="1" applyFill="1" applyBorder="1" applyAlignment="1">
      <alignment horizontal="center"/>
    </xf>
    <xf numFmtId="44" fontId="12" fillId="4" borderId="26" xfId="1" applyFont="1" applyFill="1" applyBorder="1" applyAlignment="1">
      <alignment horizontal="center"/>
    </xf>
    <xf numFmtId="0" fontId="6" fillId="4" borderId="24" xfId="0" applyFont="1" applyFill="1" applyBorder="1" applyAlignment="1">
      <alignment horizontal="center"/>
    </xf>
    <xf numFmtId="0" fontId="6" fillId="0" borderId="1" xfId="0" applyFont="1" applyFill="1" applyBorder="1"/>
    <xf numFmtId="0" fontId="6" fillId="0" borderId="0" xfId="0" applyFont="1" applyFill="1" applyBorder="1"/>
    <xf numFmtId="0" fontId="6" fillId="0" borderId="0" xfId="0" applyFont="1" applyFill="1" applyBorder="1" applyAlignment="1">
      <alignment horizontal="center"/>
    </xf>
    <xf numFmtId="44" fontId="6" fillId="0" borderId="0" xfId="1" applyFont="1" applyFill="1" applyBorder="1" applyAlignment="1">
      <alignment horizontal="center"/>
    </xf>
    <xf numFmtId="0" fontId="2" fillId="2" borderId="21" xfId="0" applyFont="1" applyFill="1" applyBorder="1"/>
    <xf numFmtId="0" fontId="2" fillId="2" borderId="20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0" fontId="6" fillId="0" borderId="20" xfId="0" applyFont="1" applyBorder="1"/>
    <xf numFmtId="2" fontId="6" fillId="0" borderId="20" xfId="0" applyNumberFormat="1" applyFont="1" applyBorder="1" applyAlignment="1">
      <alignment horizontal="center"/>
    </xf>
    <xf numFmtId="0" fontId="7" fillId="0" borderId="20" xfId="0" applyFont="1" applyBorder="1" applyAlignment="1">
      <alignment horizontal="center"/>
    </xf>
    <xf numFmtId="44" fontId="7" fillId="0" borderId="20" xfId="1" applyFont="1" applyBorder="1" applyAlignment="1">
      <alignment horizontal="center"/>
    </xf>
    <xf numFmtId="44" fontId="11" fillId="0" borderId="20" xfId="1" applyNumberFormat="1" applyFont="1" applyBorder="1" applyAlignment="1">
      <alignment horizontal="center"/>
    </xf>
    <xf numFmtId="2" fontId="7" fillId="0" borderId="20" xfId="0" applyNumberFormat="1" applyFont="1" applyBorder="1" applyAlignment="1">
      <alignment horizontal="center"/>
    </xf>
    <xf numFmtId="44" fontId="13" fillId="0" borderId="20" xfId="1" applyFont="1" applyBorder="1" applyAlignment="1">
      <alignment horizontal="center"/>
    </xf>
    <xf numFmtId="0" fontId="6" fillId="4" borderId="9" xfId="0" applyFont="1" applyFill="1" applyBorder="1"/>
    <xf numFmtId="0" fontId="6" fillId="4" borderId="1" xfId="0" applyFont="1" applyFill="1" applyBorder="1" applyAlignment="1">
      <alignment horizontal="center"/>
    </xf>
    <xf numFmtId="44" fontId="6" fillId="4" borderId="1" xfId="1" applyFont="1" applyFill="1" applyBorder="1" applyAlignment="1">
      <alignment horizontal="center"/>
    </xf>
    <xf numFmtId="44" fontId="6" fillId="4" borderId="15" xfId="1" applyFont="1" applyFill="1" applyBorder="1" applyAlignment="1">
      <alignment horizontal="center"/>
    </xf>
    <xf numFmtId="44" fontId="12" fillId="4" borderId="1" xfId="1" applyNumberFormat="1" applyFont="1" applyFill="1" applyBorder="1" applyAlignment="1">
      <alignment horizontal="center"/>
    </xf>
    <xf numFmtId="44" fontId="12" fillId="4" borderId="19" xfId="1" applyNumberFormat="1" applyFont="1" applyFill="1" applyBorder="1" applyAlignment="1">
      <alignment horizontal="center"/>
    </xf>
    <xf numFmtId="0" fontId="2" fillId="0" borderId="4" xfId="0" applyFont="1" applyBorder="1"/>
    <xf numFmtId="0" fontId="2" fillId="0" borderId="10" xfId="0" applyFont="1" applyBorder="1"/>
    <xf numFmtId="0" fontId="2" fillId="0" borderId="4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44" fontId="7" fillId="0" borderId="0" xfId="1" applyFont="1" applyBorder="1" applyAlignment="1">
      <alignment horizontal="center"/>
    </xf>
    <xf numFmtId="0" fontId="6" fillId="0" borderId="3" xfId="0" applyFont="1" applyBorder="1"/>
    <xf numFmtId="0" fontId="6" fillId="0" borderId="11" xfId="0" applyFont="1" applyBorder="1"/>
    <xf numFmtId="0" fontId="7" fillId="0" borderId="3" xfId="0" applyFont="1" applyBorder="1" applyAlignment="1">
      <alignment horizontal="center"/>
    </xf>
    <xf numFmtId="44" fontId="7" fillId="0" borderId="3" xfId="1" applyFont="1" applyBorder="1" applyAlignment="1">
      <alignment horizontal="center"/>
    </xf>
    <xf numFmtId="44" fontId="6" fillId="0" borderId="3" xfId="1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2" fillId="0" borderId="0" xfId="0" applyFont="1" applyFill="1" applyBorder="1"/>
    <xf numFmtId="0" fontId="2" fillId="3" borderId="7" xfId="0" applyFont="1" applyFill="1" applyBorder="1"/>
    <xf numFmtId="0" fontId="2" fillId="3" borderId="0" xfId="0" applyFont="1" applyFill="1" applyBorder="1"/>
    <xf numFmtId="0" fontId="2" fillId="3" borderId="0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left"/>
    </xf>
    <xf numFmtId="2" fontId="2" fillId="3" borderId="13" xfId="0" applyNumberFormat="1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2" fillId="3" borderId="8" xfId="0" applyFont="1" applyFill="1" applyBorder="1"/>
    <xf numFmtId="0" fontId="2" fillId="3" borderId="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left"/>
    </xf>
    <xf numFmtId="44" fontId="2" fillId="3" borderId="14" xfId="0" applyNumberFormat="1" applyFont="1" applyFill="1" applyBorder="1" applyAlignment="1">
      <alignment horizontal="center"/>
    </xf>
    <xf numFmtId="7" fontId="14" fillId="3" borderId="0" xfId="1" applyNumberFormat="1" applyFont="1" applyFill="1" applyBorder="1" applyAlignment="1">
      <alignment horizontal="center"/>
    </xf>
    <xf numFmtId="44" fontId="14" fillId="3" borderId="0" xfId="1" applyFont="1" applyFill="1" applyBorder="1" applyAlignment="1">
      <alignment horizontal="center"/>
    </xf>
    <xf numFmtId="44" fontId="14" fillId="3" borderId="2" xfId="1" applyFont="1" applyFill="1" applyBorder="1" applyAlignment="1">
      <alignment horizontal="center"/>
    </xf>
    <xf numFmtId="0" fontId="4" fillId="0" borderId="7" xfId="0" applyFont="1" applyBorder="1"/>
    <xf numFmtId="0" fontId="15" fillId="0" borderId="0" xfId="0" applyFont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164" fontId="3" fillId="5" borderId="0" xfId="0" applyNumberFormat="1" applyFont="1" applyFill="1" applyBorder="1" applyAlignment="1">
      <alignment horizontal="center"/>
    </xf>
    <xf numFmtId="164" fontId="3" fillId="0" borderId="0" xfId="0" applyNumberFormat="1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1" fontId="4" fillId="0" borderId="0" xfId="0" applyNumberFormat="1" applyFont="1" applyBorder="1" applyAlignment="1">
      <alignment horizontal="center"/>
    </xf>
    <xf numFmtId="10" fontId="3" fillId="0" borderId="0" xfId="0" applyNumberFormat="1" applyFont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36"/>
  <sheetViews>
    <sheetView tabSelected="1" topLeftCell="A76" workbookViewId="0">
      <selection activeCell="L19" sqref="L19:L20"/>
    </sheetView>
  </sheetViews>
  <sheetFormatPr defaultRowHeight="11.25" x14ac:dyDescent="0.2"/>
  <cols>
    <col min="1" max="1" width="19.140625" style="16" customWidth="1"/>
    <col min="2" max="2" width="7.140625" style="17" customWidth="1"/>
    <col min="3" max="3" width="4.42578125" style="17" customWidth="1"/>
    <col min="4" max="14" width="7.5703125" style="17" customWidth="1"/>
    <col min="15" max="15" width="7.5703125" style="20" customWidth="1"/>
    <col min="16" max="16384" width="9.140625" style="21"/>
  </cols>
  <sheetData>
    <row r="1" spans="1:15" s="6" customFormat="1" x14ac:dyDescent="0.2">
      <c r="A1" s="1" t="s">
        <v>64</v>
      </c>
      <c r="B1" s="2" t="s">
        <v>131</v>
      </c>
      <c r="C1" s="3"/>
      <c r="D1" s="3"/>
      <c r="E1" s="3"/>
      <c r="F1" s="4" t="s">
        <v>109</v>
      </c>
      <c r="G1" s="3"/>
      <c r="H1" s="3"/>
      <c r="I1" s="3"/>
      <c r="J1" s="3"/>
      <c r="K1" s="3"/>
      <c r="L1" s="3"/>
      <c r="M1" s="3"/>
      <c r="N1" s="3"/>
      <c r="O1" s="5"/>
    </row>
    <row r="2" spans="1:15" s="15" customFormat="1" x14ac:dyDescent="0.2">
      <c r="A2" s="7" t="s">
        <v>65</v>
      </c>
      <c r="B2" s="8"/>
      <c r="C2" s="9"/>
      <c r="D2" s="9"/>
      <c r="E2" s="9"/>
      <c r="F2" s="10" t="s">
        <v>110</v>
      </c>
      <c r="G2" s="9"/>
      <c r="H2" s="11">
        <v>50</v>
      </c>
      <c r="I2" s="12" t="s">
        <v>121</v>
      </c>
      <c r="J2" s="13">
        <f>B3*H2-J3-J4</f>
        <v>0</v>
      </c>
      <c r="K2" s="13"/>
      <c r="L2" s="13"/>
      <c r="M2" s="13"/>
      <c r="N2" s="13"/>
      <c r="O2" s="14"/>
    </row>
    <row r="3" spans="1:15" x14ac:dyDescent="0.2">
      <c r="A3" s="16" t="s">
        <v>123</v>
      </c>
      <c r="B3" s="95">
        <v>0</v>
      </c>
      <c r="C3" s="17" t="s">
        <v>70</v>
      </c>
      <c r="F3" s="18" t="s">
        <v>111</v>
      </c>
      <c r="H3" s="11">
        <v>75</v>
      </c>
      <c r="I3" s="17" t="s">
        <v>121</v>
      </c>
      <c r="J3" s="19">
        <f>B4/10*H3-J4</f>
        <v>0</v>
      </c>
      <c r="K3" s="19"/>
      <c r="L3" s="19"/>
      <c r="M3" s="19"/>
      <c r="N3" s="19"/>
    </row>
    <row r="4" spans="1:15" x14ac:dyDescent="0.2">
      <c r="A4" s="16" t="s">
        <v>124</v>
      </c>
      <c r="B4" s="95">
        <v>0</v>
      </c>
      <c r="C4" s="17" t="s">
        <v>92</v>
      </c>
      <c r="F4" s="18" t="s">
        <v>112</v>
      </c>
      <c r="H4" s="11">
        <v>100</v>
      </c>
      <c r="I4" s="17" t="s">
        <v>121</v>
      </c>
      <c r="J4" s="22">
        <f>B9*1.6*H4</f>
        <v>0</v>
      </c>
      <c r="K4" s="22"/>
      <c r="L4" s="22"/>
      <c r="M4" s="22"/>
      <c r="N4" s="22"/>
    </row>
    <row r="5" spans="1:15" x14ac:dyDescent="0.2">
      <c r="A5" s="16" t="s">
        <v>125</v>
      </c>
      <c r="B5" s="95">
        <v>0</v>
      </c>
      <c r="C5" s="17" t="s">
        <v>92</v>
      </c>
      <c r="F5" s="18"/>
      <c r="H5" s="23"/>
      <c r="I5" s="17" t="s">
        <v>101</v>
      </c>
      <c r="J5" s="99">
        <f>J2+J3+J4</f>
        <v>0</v>
      </c>
      <c r="K5" s="19"/>
      <c r="L5" s="19"/>
      <c r="M5" s="19"/>
      <c r="N5" s="19"/>
    </row>
    <row r="6" spans="1:15" x14ac:dyDescent="0.2">
      <c r="A6" s="16" t="s">
        <v>126</v>
      </c>
      <c r="B6" s="95">
        <v>0</v>
      </c>
      <c r="C6" s="17" t="s">
        <v>92</v>
      </c>
      <c r="F6" s="24" t="s">
        <v>113</v>
      </c>
    </row>
    <row r="7" spans="1:15" x14ac:dyDescent="0.2">
      <c r="A7" s="16" t="s">
        <v>134</v>
      </c>
      <c r="B7" s="96">
        <f>(B4*B6+B5*1)/100</f>
        <v>0</v>
      </c>
      <c r="C7" s="17" t="s">
        <v>70</v>
      </c>
      <c r="F7" s="18" t="s">
        <v>120</v>
      </c>
      <c r="H7" s="19">
        <f>B4+B5</f>
        <v>0</v>
      </c>
      <c r="I7" s="18" t="s">
        <v>119</v>
      </c>
      <c r="J7" s="17">
        <f>B3*12</f>
        <v>0</v>
      </c>
    </row>
    <row r="8" spans="1:15" x14ac:dyDescent="0.2">
      <c r="A8" s="16" t="s">
        <v>146</v>
      </c>
      <c r="B8" s="97">
        <f>B36+B37+B3</f>
        <v>0</v>
      </c>
      <c r="C8" s="17" t="s">
        <v>128</v>
      </c>
      <c r="F8" s="18" t="s">
        <v>114</v>
      </c>
      <c r="H8" s="25">
        <v>1</v>
      </c>
      <c r="I8" s="17" t="s">
        <v>116</v>
      </c>
      <c r="J8" s="17">
        <f>J7*H8</f>
        <v>0</v>
      </c>
    </row>
    <row r="9" spans="1:15" x14ac:dyDescent="0.2">
      <c r="A9" s="16" t="s">
        <v>130</v>
      </c>
      <c r="B9" s="98">
        <v>0</v>
      </c>
      <c r="C9" s="17" t="s">
        <v>72</v>
      </c>
      <c r="F9" s="18" t="s">
        <v>111</v>
      </c>
      <c r="H9" s="25">
        <v>1</v>
      </c>
      <c r="I9" s="17" t="s">
        <v>116</v>
      </c>
      <c r="J9" s="19">
        <f>H7*H9</f>
        <v>0</v>
      </c>
      <c r="K9" s="19"/>
      <c r="L9" s="19"/>
      <c r="M9" s="19"/>
      <c r="N9" s="19"/>
    </row>
    <row r="10" spans="1:15" x14ac:dyDescent="0.2">
      <c r="A10" s="16" t="s">
        <v>53</v>
      </c>
      <c r="B10" s="25">
        <v>1</v>
      </c>
      <c r="I10" s="17" t="s">
        <v>101</v>
      </c>
      <c r="J10" s="99">
        <f>J8+J9</f>
        <v>0</v>
      </c>
      <c r="K10" s="19"/>
      <c r="L10" s="19"/>
      <c r="M10" s="19"/>
      <c r="N10" s="19"/>
    </row>
    <row r="11" spans="1:15" x14ac:dyDescent="0.2">
      <c r="A11" s="16" t="s">
        <v>54</v>
      </c>
      <c r="B11" s="25" t="s">
        <v>67</v>
      </c>
      <c r="D11" s="17" t="s">
        <v>141</v>
      </c>
      <c r="F11" s="24" t="s">
        <v>115</v>
      </c>
      <c r="H11" s="100">
        <v>7.0000000000000007E-2</v>
      </c>
    </row>
    <row r="12" spans="1:15" x14ac:dyDescent="0.2">
      <c r="A12" s="16" t="s">
        <v>55</v>
      </c>
      <c r="B12" s="25" t="s">
        <v>66</v>
      </c>
      <c r="F12" s="17" t="s">
        <v>132</v>
      </c>
      <c r="H12" s="26">
        <f>B3*H11</f>
        <v>0</v>
      </c>
      <c r="I12" s="17" t="s">
        <v>70</v>
      </c>
    </row>
    <row r="13" spans="1:15" x14ac:dyDescent="0.2">
      <c r="A13" s="16" t="s">
        <v>62</v>
      </c>
      <c r="B13" s="11">
        <v>6</v>
      </c>
      <c r="F13" s="18" t="s">
        <v>133</v>
      </c>
      <c r="H13" s="27">
        <f>B7*H11</f>
        <v>0</v>
      </c>
      <c r="I13" s="17" t="s">
        <v>70</v>
      </c>
    </row>
    <row r="14" spans="1:15" x14ac:dyDescent="0.2">
      <c r="A14" s="16" t="s">
        <v>63</v>
      </c>
      <c r="B14" s="28">
        <v>48</v>
      </c>
      <c r="F14" s="18" t="s">
        <v>135</v>
      </c>
      <c r="H14" s="27">
        <f>B3+H12</f>
        <v>0</v>
      </c>
      <c r="I14" s="17" t="s">
        <v>70</v>
      </c>
    </row>
    <row r="15" spans="1:15" x14ac:dyDescent="0.2">
      <c r="A15" s="16" t="s">
        <v>139</v>
      </c>
      <c r="B15" s="29">
        <v>8</v>
      </c>
      <c r="F15" s="18" t="s">
        <v>136</v>
      </c>
      <c r="H15" s="27">
        <f>B7+H13</f>
        <v>0</v>
      </c>
      <c r="I15" s="17" t="s">
        <v>70</v>
      </c>
    </row>
    <row r="16" spans="1:15" x14ac:dyDescent="0.2">
      <c r="A16" s="16" t="s">
        <v>137</v>
      </c>
      <c r="B16" s="30">
        <f>B13*B14</f>
        <v>288</v>
      </c>
      <c r="F16" s="18"/>
      <c r="H16" s="27">
        <f>H14+H15</f>
        <v>0</v>
      </c>
      <c r="I16" s="17" t="s">
        <v>101</v>
      </c>
    </row>
    <row r="17" spans="1:15" x14ac:dyDescent="0.2">
      <c r="A17" s="16" t="s">
        <v>138</v>
      </c>
      <c r="B17" s="30">
        <f>B15*B16</f>
        <v>2304</v>
      </c>
      <c r="F17" s="24"/>
      <c r="H17" s="39"/>
    </row>
    <row r="18" spans="1:15" x14ac:dyDescent="0.2">
      <c r="A18" s="93" t="s">
        <v>182</v>
      </c>
      <c r="B18" s="30"/>
      <c r="F18" s="24"/>
      <c r="H18" s="39"/>
      <c r="I18" s="25"/>
    </row>
    <row r="19" spans="1:15" x14ac:dyDescent="0.2">
      <c r="A19" s="93" t="s">
        <v>183</v>
      </c>
      <c r="B19" s="30"/>
      <c r="F19" s="24"/>
      <c r="H19" s="39"/>
      <c r="I19" s="25"/>
    </row>
    <row r="20" spans="1:15" x14ac:dyDescent="0.2">
      <c r="A20" s="93" t="s">
        <v>181</v>
      </c>
      <c r="B20" s="30"/>
      <c r="C20" s="94">
        <v>6.6</v>
      </c>
      <c r="F20" s="24"/>
      <c r="H20" s="39"/>
    </row>
    <row r="21" spans="1:15" x14ac:dyDescent="0.2">
      <c r="B21" s="30"/>
      <c r="F21" s="24"/>
      <c r="H21" s="39"/>
    </row>
    <row r="22" spans="1:15" s="35" customFormat="1" x14ac:dyDescent="0.2">
      <c r="A22" s="31" t="s">
        <v>60</v>
      </c>
      <c r="B22" s="32" t="s">
        <v>68</v>
      </c>
      <c r="C22" s="33" t="s">
        <v>80</v>
      </c>
      <c r="D22" s="33" t="s">
        <v>81</v>
      </c>
      <c r="E22" s="33" t="s">
        <v>78</v>
      </c>
      <c r="F22" s="33" t="s">
        <v>93</v>
      </c>
      <c r="G22" s="33" t="s">
        <v>79</v>
      </c>
      <c r="H22" s="33" t="s">
        <v>94</v>
      </c>
      <c r="I22" s="33"/>
      <c r="J22" s="33"/>
      <c r="K22" s="33"/>
      <c r="L22" s="33"/>
      <c r="M22" s="33"/>
      <c r="N22" s="33"/>
      <c r="O22" s="34"/>
    </row>
    <row r="23" spans="1:15" x14ac:dyDescent="0.2">
      <c r="A23" s="16" t="s">
        <v>0</v>
      </c>
      <c r="B23" s="17">
        <f>B3</f>
        <v>0</v>
      </c>
      <c r="C23" s="17" t="s">
        <v>70</v>
      </c>
      <c r="D23" s="25">
        <v>0.25</v>
      </c>
      <c r="E23" s="36" t="s">
        <v>1</v>
      </c>
      <c r="F23" s="27">
        <f t="shared" ref="F23:F41" si="0">B23*D23</f>
        <v>0</v>
      </c>
      <c r="G23" s="37">
        <f>B14</f>
        <v>48</v>
      </c>
      <c r="H23" s="38">
        <f>F23*G23</f>
        <v>0</v>
      </c>
    </row>
    <row r="24" spans="1:15" x14ac:dyDescent="0.2">
      <c r="A24" s="16" t="s">
        <v>2</v>
      </c>
      <c r="B24" s="17">
        <f>B3</f>
        <v>0</v>
      </c>
      <c r="C24" s="17" t="s">
        <v>70</v>
      </c>
      <c r="D24" s="25">
        <v>0.25</v>
      </c>
      <c r="E24" s="36" t="s">
        <v>1</v>
      </c>
      <c r="F24" s="27">
        <f t="shared" si="0"/>
        <v>0</v>
      </c>
      <c r="G24" s="37">
        <f>B14</f>
        <v>48</v>
      </c>
      <c r="H24" s="38">
        <f t="shared" ref="H24:H41" si="1">F24*G24</f>
        <v>0</v>
      </c>
    </row>
    <row r="25" spans="1:15" x14ac:dyDescent="0.2">
      <c r="A25" s="16" t="s">
        <v>4</v>
      </c>
      <c r="B25" s="17">
        <f>B3</f>
        <v>0</v>
      </c>
      <c r="C25" s="17" t="s">
        <v>70</v>
      </c>
      <c r="D25" s="25">
        <v>0.22</v>
      </c>
      <c r="E25" s="36" t="s">
        <v>1</v>
      </c>
      <c r="F25" s="27">
        <f t="shared" si="0"/>
        <v>0</v>
      </c>
      <c r="G25" s="37">
        <f>B14</f>
        <v>48</v>
      </c>
      <c r="H25" s="38">
        <f t="shared" si="1"/>
        <v>0</v>
      </c>
    </row>
    <row r="26" spans="1:15" x14ac:dyDescent="0.2">
      <c r="A26" s="16" t="s">
        <v>56</v>
      </c>
      <c r="B26" s="17">
        <f>B3</f>
        <v>0</v>
      </c>
      <c r="C26" s="17" t="s">
        <v>70</v>
      </c>
      <c r="D26" s="25">
        <v>1.19</v>
      </c>
      <c r="E26" s="36" t="s">
        <v>1</v>
      </c>
      <c r="F26" s="27">
        <f t="shared" si="0"/>
        <v>0</v>
      </c>
      <c r="G26" s="37">
        <f>B14</f>
        <v>48</v>
      </c>
      <c r="H26" s="38">
        <f t="shared" si="1"/>
        <v>0</v>
      </c>
    </row>
    <row r="27" spans="1:15" x14ac:dyDescent="0.2">
      <c r="A27" s="16" t="s">
        <v>5</v>
      </c>
      <c r="B27" s="17">
        <f>B3</f>
        <v>0</v>
      </c>
      <c r="C27" s="17" t="s">
        <v>70</v>
      </c>
      <c r="D27" s="25">
        <v>0.05</v>
      </c>
      <c r="E27" s="36" t="s">
        <v>1</v>
      </c>
      <c r="F27" s="27">
        <f t="shared" si="0"/>
        <v>0</v>
      </c>
      <c r="G27" s="37">
        <f>B14</f>
        <v>48</v>
      </c>
      <c r="H27" s="38">
        <f t="shared" si="1"/>
        <v>0</v>
      </c>
    </row>
    <row r="28" spans="1:15" x14ac:dyDescent="0.2">
      <c r="A28" s="16" t="s">
        <v>6</v>
      </c>
      <c r="B28" s="17">
        <f>B3</f>
        <v>0</v>
      </c>
      <c r="C28" s="17" t="s">
        <v>70</v>
      </c>
      <c r="D28" s="25">
        <v>0.1</v>
      </c>
      <c r="E28" s="36" t="s">
        <v>1</v>
      </c>
      <c r="F28" s="27">
        <f t="shared" si="0"/>
        <v>0</v>
      </c>
      <c r="G28" s="37">
        <f>B14</f>
        <v>48</v>
      </c>
      <c r="H28" s="38">
        <f t="shared" si="1"/>
        <v>0</v>
      </c>
    </row>
    <row r="29" spans="1:15" x14ac:dyDescent="0.2">
      <c r="A29" s="16" t="s">
        <v>7</v>
      </c>
      <c r="B29" s="17">
        <f>B3</f>
        <v>0</v>
      </c>
      <c r="C29" s="17" t="s">
        <v>70</v>
      </c>
      <c r="D29" s="25">
        <v>0.25</v>
      </c>
      <c r="E29" s="36" t="s">
        <v>1</v>
      </c>
      <c r="F29" s="27">
        <f t="shared" si="0"/>
        <v>0</v>
      </c>
      <c r="G29" s="37">
        <f>B14</f>
        <v>48</v>
      </c>
      <c r="H29" s="38">
        <f t="shared" si="1"/>
        <v>0</v>
      </c>
    </row>
    <row r="30" spans="1:15" x14ac:dyDescent="0.2">
      <c r="A30" s="16" t="s">
        <v>3</v>
      </c>
      <c r="B30" s="17">
        <f>B3</f>
        <v>0</v>
      </c>
      <c r="C30" s="17" t="s">
        <v>70</v>
      </c>
      <c r="D30" s="39">
        <v>0.3</v>
      </c>
      <c r="E30" s="36" t="s">
        <v>1</v>
      </c>
      <c r="F30" s="27">
        <f t="shared" si="0"/>
        <v>0</v>
      </c>
      <c r="G30" s="37">
        <f>B14</f>
        <v>48</v>
      </c>
      <c r="H30" s="38">
        <f t="shared" si="1"/>
        <v>0</v>
      </c>
    </row>
    <row r="31" spans="1:15" x14ac:dyDescent="0.2">
      <c r="A31" s="16" t="s">
        <v>145</v>
      </c>
      <c r="B31" s="17">
        <f>B3</f>
        <v>0</v>
      </c>
      <c r="C31" s="17" t="s">
        <v>70</v>
      </c>
      <c r="D31" s="25">
        <v>0.48</v>
      </c>
      <c r="E31" s="36" t="s">
        <v>1</v>
      </c>
      <c r="F31" s="27">
        <f t="shared" si="0"/>
        <v>0</v>
      </c>
      <c r="G31" s="37">
        <f>B14</f>
        <v>48</v>
      </c>
      <c r="H31" s="38">
        <f t="shared" si="1"/>
        <v>0</v>
      </c>
    </row>
    <row r="32" spans="1:15" x14ac:dyDescent="0.2">
      <c r="A32" s="16" t="s">
        <v>13</v>
      </c>
      <c r="B32" s="17">
        <f>B3</f>
        <v>0</v>
      </c>
      <c r="C32" s="17" t="s">
        <v>70</v>
      </c>
      <c r="D32" s="25">
        <v>0.55000000000000004</v>
      </c>
      <c r="E32" s="36" t="s">
        <v>1</v>
      </c>
      <c r="F32" s="27">
        <f t="shared" si="0"/>
        <v>0</v>
      </c>
      <c r="G32" s="37">
        <f>B14</f>
        <v>48</v>
      </c>
      <c r="H32" s="38">
        <f t="shared" si="1"/>
        <v>0</v>
      </c>
    </row>
    <row r="33" spans="1:15" x14ac:dyDescent="0.2">
      <c r="A33" s="16" t="s">
        <v>144</v>
      </c>
      <c r="B33" s="17">
        <f>B3</f>
        <v>0</v>
      </c>
      <c r="C33" s="17" t="s">
        <v>70</v>
      </c>
      <c r="D33" s="25">
        <v>0.85</v>
      </c>
      <c r="E33" s="36" t="s">
        <v>1</v>
      </c>
      <c r="F33" s="27">
        <f t="shared" si="0"/>
        <v>0</v>
      </c>
      <c r="G33" s="37">
        <f>B14</f>
        <v>48</v>
      </c>
      <c r="H33" s="38">
        <f t="shared" si="1"/>
        <v>0</v>
      </c>
    </row>
    <row r="34" spans="1:15" x14ac:dyDescent="0.2">
      <c r="A34" s="16" t="s">
        <v>15</v>
      </c>
      <c r="B34" s="17">
        <f>B3</f>
        <v>0</v>
      </c>
      <c r="C34" s="17" t="s">
        <v>70</v>
      </c>
      <c r="D34" s="25">
        <v>1.45</v>
      </c>
      <c r="E34" s="36" t="s">
        <v>1</v>
      </c>
      <c r="F34" s="27">
        <f t="shared" si="0"/>
        <v>0</v>
      </c>
      <c r="G34" s="37">
        <f>B14</f>
        <v>48</v>
      </c>
      <c r="H34" s="38">
        <f t="shared" si="1"/>
        <v>0</v>
      </c>
    </row>
    <row r="35" spans="1:15" x14ac:dyDescent="0.2">
      <c r="A35" s="16" t="s">
        <v>8</v>
      </c>
      <c r="B35" s="17">
        <f>B3</f>
        <v>0</v>
      </c>
      <c r="C35" s="17" t="s">
        <v>70</v>
      </c>
      <c r="D35" s="25">
        <v>0.32</v>
      </c>
      <c r="E35" s="36" t="s">
        <v>1</v>
      </c>
      <c r="F35" s="27">
        <f t="shared" si="0"/>
        <v>0</v>
      </c>
      <c r="G35" s="37">
        <f>B14</f>
        <v>48</v>
      </c>
      <c r="H35" s="38">
        <f t="shared" si="1"/>
        <v>0</v>
      </c>
    </row>
    <row r="36" spans="1:15" x14ac:dyDescent="0.2">
      <c r="A36" s="16" t="s">
        <v>95</v>
      </c>
      <c r="B36" s="17">
        <f>B4*B6/100</f>
        <v>0</v>
      </c>
      <c r="C36" s="17" t="s">
        <v>70</v>
      </c>
      <c r="D36" s="25">
        <v>5</v>
      </c>
      <c r="E36" s="36" t="s">
        <v>1</v>
      </c>
      <c r="F36" s="27">
        <f t="shared" si="0"/>
        <v>0</v>
      </c>
      <c r="G36" s="37">
        <f>B14</f>
        <v>48</v>
      </c>
      <c r="H36" s="38">
        <f t="shared" si="1"/>
        <v>0</v>
      </c>
    </row>
    <row r="37" spans="1:15" x14ac:dyDescent="0.2">
      <c r="A37" s="16" t="s">
        <v>96</v>
      </c>
      <c r="B37" s="22">
        <f>B5*0.01</f>
        <v>0</v>
      </c>
      <c r="C37" s="17" t="s">
        <v>70</v>
      </c>
      <c r="D37" s="25">
        <v>2</v>
      </c>
      <c r="E37" s="36" t="s">
        <v>1</v>
      </c>
      <c r="F37" s="27">
        <f t="shared" si="0"/>
        <v>0</v>
      </c>
      <c r="G37" s="37">
        <f>B14</f>
        <v>48</v>
      </c>
      <c r="H37" s="38">
        <f t="shared" si="1"/>
        <v>0</v>
      </c>
    </row>
    <row r="38" spans="1:15" x14ac:dyDescent="0.2">
      <c r="A38" s="16" t="s">
        <v>140</v>
      </c>
      <c r="B38" s="25">
        <v>0</v>
      </c>
      <c r="C38" s="17" t="s">
        <v>72</v>
      </c>
      <c r="D38" s="25">
        <v>0.34</v>
      </c>
      <c r="E38" s="36" t="s">
        <v>129</v>
      </c>
      <c r="F38" s="27">
        <f t="shared" si="0"/>
        <v>0</v>
      </c>
      <c r="G38" s="37">
        <f>B14</f>
        <v>48</v>
      </c>
      <c r="H38" s="38">
        <f t="shared" si="1"/>
        <v>0</v>
      </c>
    </row>
    <row r="39" spans="1:15" x14ac:dyDescent="0.2">
      <c r="A39" s="16" t="s">
        <v>9</v>
      </c>
      <c r="B39" s="25">
        <v>0</v>
      </c>
      <c r="C39" s="17" t="s">
        <v>92</v>
      </c>
      <c r="D39" s="25">
        <v>0.04</v>
      </c>
      <c r="E39" s="36" t="s">
        <v>11</v>
      </c>
      <c r="F39" s="27">
        <f t="shared" si="0"/>
        <v>0</v>
      </c>
      <c r="G39" s="37">
        <f>B14</f>
        <v>48</v>
      </c>
      <c r="H39" s="38">
        <f t="shared" si="1"/>
        <v>0</v>
      </c>
    </row>
    <row r="40" spans="1:15" x14ac:dyDescent="0.2">
      <c r="A40" s="16" t="s">
        <v>10</v>
      </c>
      <c r="B40" s="25">
        <v>0</v>
      </c>
      <c r="C40" s="17" t="s">
        <v>92</v>
      </c>
      <c r="D40" s="25">
        <v>0.08</v>
      </c>
      <c r="E40" s="36" t="s">
        <v>11</v>
      </c>
      <c r="F40" s="27">
        <f t="shared" si="0"/>
        <v>0</v>
      </c>
      <c r="G40" s="37">
        <f>B14</f>
        <v>48</v>
      </c>
      <c r="H40" s="38">
        <f t="shared" si="1"/>
        <v>0</v>
      </c>
    </row>
    <row r="41" spans="1:15" x14ac:dyDescent="0.2">
      <c r="A41" s="16" t="s">
        <v>12</v>
      </c>
      <c r="B41" s="25">
        <v>0</v>
      </c>
      <c r="C41" s="17" t="s">
        <v>92</v>
      </c>
      <c r="D41" s="25">
        <v>0.06</v>
      </c>
      <c r="E41" s="36" t="s">
        <v>11</v>
      </c>
      <c r="F41" s="27">
        <f t="shared" si="0"/>
        <v>0</v>
      </c>
      <c r="G41" s="37">
        <f>B14</f>
        <v>48</v>
      </c>
      <c r="H41" s="38">
        <f t="shared" si="1"/>
        <v>0</v>
      </c>
    </row>
    <row r="42" spans="1:15" s="44" customFormat="1" ht="12" thickBot="1" x14ac:dyDescent="0.25">
      <c r="A42" s="40" t="s">
        <v>14</v>
      </c>
      <c r="B42" s="41"/>
      <c r="C42" s="41"/>
      <c r="D42" s="41"/>
      <c r="E42" s="41"/>
      <c r="F42" s="41">
        <f>SUM(F23:F41)</f>
        <v>0</v>
      </c>
      <c r="G42" s="41"/>
      <c r="H42" s="42">
        <f>SUM(H23:H41)</f>
        <v>0</v>
      </c>
      <c r="I42" s="41"/>
      <c r="J42" s="41"/>
      <c r="K42" s="41"/>
      <c r="L42" s="41"/>
      <c r="M42" s="41"/>
      <c r="N42" s="41"/>
      <c r="O42" s="43"/>
    </row>
    <row r="43" spans="1:15" s="45" customFormat="1" x14ac:dyDescent="0.2">
      <c r="B43" s="46"/>
      <c r="C43" s="46"/>
      <c r="D43" s="46"/>
      <c r="E43" s="46"/>
      <c r="F43" s="46"/>
      <c r="G43" s="46"/>
      <c r="H43" s="47"/>
      <c r="I43" s="46"/>
      <c r="J43" s="46"/>
      <c r="K43" s="46"/>
      <c r="L43" s="46"/>
      <c r="M43" s="46"/>
      <c r="N43" s="46"/>
      <c r="O43" s="46"/>
    </row>
    <row r="44" spans="1:15" s="45" customFormat="1" x14ac:dyDescent="0.2">
      <c r="B44" s="46"/>
      <c r="C44" s="46"/>
      <c r="D44" s="46"/>
      <c r="E44" s="46"/>
      <c r="F44" s="46"/>
      <c r="G44" s="46"/>
      <c r="H44" s="47"/>
      <c r="I44" s="46"/>
      <c r="J44" s="46"/>
      <c r="K44" s="46"/>
      <c r="L44" s="46"/>
      <c r="M44" s="46"/>
      <c r="N44" s="46"/>
      <c r="O44" s="46"/>
    </row>
    <row r="45" spans="1:15" s="45" customFormat="1" x14ac:dyDescent="0.2">
      <c r="B45" s="46"/>
      <c r="C45" s="46"/>
      <c r="D45" s="46"/>
      <c r="E45" s="46"/>
      <c r="F45" s="46"/>
      <c r="G45" s="46"/>
      <c r="H45" s="47"/>
      <c r="I45" s="46"/>
      <c r="J45" s="46"/>
      <c r="K45" s="46"/>
      <c r="L45" s="46"/>
      <c r="M45" s="46"/>
      <c r="N45" s="46"/>
      <c r="O45" s="46"/>
    </row>
    <row r="46" spans="1:15" s="45" customFormat="1" x14ac:dyDescent="0.2">
      <c r="B46" s="46"/>
      <c r="C46" s="46"/>
      <c r="D46" s="46"/>
      <c r="E46" s="46"/>
      <c r="F46" s="46"/>
      <c r="G46" s="46"/>
      <c r="H46" s="47"/>
      <c r="I46" s="46"/>
      <c r="J46" s="46"/>
      <c r="K46" s="46"/>
      <c r="L46" s="46"/>
      <c r="M46" s="46"/>
      <c r="N46" s="46"/>
      <c r="O46" s="46"/>
    </row>
    <row r="47" spans="1:15" s="35" customFormat="1" x14ac:dyDescent="0.2">
      <c r="A47" s="48" t="s">
        <v>61</v>
      </c>
      <c r="B47" s="49" t="s">
        <v>68</v>
      </c>
      <c r="C47" s="50" t="s">
        <v>80</v>
      </c>
      <c r="D47" s="50" t="s">
        <v>82</v>
      </c>
      <c r="E47" s="50" t="s">
        <v>84</v>
      </c>
      <c r="F47" s="50" t="s">
        <v>148</v>
      </c>
      <c r="G47" s="50" t="s">
        <v>83</v>
      </c>
      <c r="H47" s="50" t="s">
        <v>149</v>
      </c>
      <c r="I47" s="50" t="s">
        <v>150</v>
      </c>
      <c r="J47" s="51" t="s">
        <v>151</v>
      </c>
      <c r="K47" s="49" t="s">
        <v>151</v>
      </c>
      <c r="L47" s="51" t="s">
        <v>151</v>
      </c>
      <c r="M47" s="49" t="s">
        <v>151</v>
      </c>
      <c r="N47" s="51" t="s">
        <v>151</v>
      </c>
      <c r="O47" s="49" t="s">
        <v>151</v>
      </c>
    </row>
    <row r="48" spans="1:15" x14ac:dyDescent="0.2">
      <c r="A48" s="52" t="s">
        <v>16</v>
      </c>
      <c r="B48" s="53">
        <f>H14/20</f>
        <v>0</v>
      </c>
      <c r="C48" s="54" t="s">
        <v>69</v>
      </c>
      <c r="D48" s="55">
        <v>85</v>
      </c>
      <c r="E48" s="55">
        <v>69.5</v>
      </c>
      <c r="F48" s="55">
        <v>0</v>
      </c>
      <c r="G48" s="55">
        <v>85</v>
      </c>
      <c r="H48" s="55">
        <v>69.5</v>
      </c>
      <c r="I48" s="55">
        <v>0</v>
      </c>
      <c r="J48" s="56">
        <f t="shared" ref="J48:J78" si="2">B48*D48</f>
        <v>0</v>
      </c>
      <c r="K48" s="56">
        <f t="shared" ref="K48:K78" si="3">B48*E48</f>
        <v>0</v>
      </c>
      <c r="L48" s="56">
        <f t="shared" ref="L48:L78" si="4">B48*F48</f>
        <v>0</v>
      </c>
      <c r="M48" s="56">
        <f>B48*G48</f>
        <v>0</v>
      </c>
      <c r="N48" s="56">
        <f>B48*H48</f>
        <v>0</v>
      </c>
      <c r="O48" s="56">
        <f t="shared" ref="O48:O78" si="5">B48*I48</f>
        <v>0</v>
      </c>
    </row>
    <row r="49" spans="1:15" x14ac:dyDescent="0.2">
      <c r="A49" s="52" t="s">
        <v>186</v>
      </c>
      <c r="B49" s="53">
        <f>H14/45</f>
        <v>0</v>
      </c>
      <c r="C49" s="54" t="s">
        <v>69</v>
      </c>
      <c r="D49" s="55">
        <v>344</v>
      </c>
      <c r="E49" s="55">
        <v>442</v>
      </c>
      <c r="F49" s="55">
        <v>0</v>
      </c>
      <c r="G49" s="55">
        <v>344</v>
      </c>
      <c r="H49" s="55">
        <v>442</v>
      </c>
      <c r="I49" s="55">
        <v>0</v>
      </c>
      <c r="J49" s="56">
        <f t="shared" si="2"/>
        <v>0</v>
      </c>
      <c r="K49" s="56">
        <f t="shared" si="3"/>
        <v>0</v>
      </c>
      <c r="L49" s="56">
        <f t="shared" si="4"/>
        <v>0</v>
      </c>
      <c r="M49" s="56">
        <f>B49*G49</f>
        <v>0</v>
      </c>
      <c r="N49" s="56">
        <f>B49*H49</f>
        <v>0</v>
      </c>
      <c r="O49" s="56">
        <f t="shared" si="5"/>
        <v>0</v>
      </c>
    </row>
    <row r="50" spans="1:15" x14ac:dyDescent="0.2">
      <c r="A50" s="52" t="s">
        <v>147</v>
      </c>
      <c r="B50" s="53">
        <f>H14/2</f>
        <v>0</v>
      </c>
      <c r="C50" s="54" t="s">
        <v>69</v>
      </c>
      <c r="D50" s="55">
        <v>69.75</v>
      </c>
      <c r="E50" s="55">
        <v>42</v>
      </c>
      <c r="F50" s="55">
        <v>41.85</v>
      </c>
      <c r="G50" s="55">
        <v>69.75</v>
      </c>
      <c r="H50" s="55">
        <v>42</v>
      </c>
      <c r="I50" s="55">
        <v>41.85</v>
      </c>
      <c r="J50" s="56">
        <f t="shared" si="2"/>
        <v>0</v>
      </c>
      <c r="K50" s="56">
        <f t="shared" si="3"/>
        <v>0</v>
      </c>
      <c r="L50" s="56">
        <f t="shared" si="4"/>
        <v>0</v>
      </c>
      <c r="M50" s="56">
        <f t="shared" ref="M50:M116" si="6">B50*G50</f>
        <v>0</v>
      </c>
      <c r="N50" s="56">
        <f t="shared" ref="N50:N116" si="7">B50*H50</f>
        <v>0</v>
      </c>
      <c r="O50" s="56">
        <f t="shared" si="5"/>
        <v>0</v>
      </c>
    </row>
    <row r="51" spans="1:15" x14ac:dyDescent="0.2">
      <c r="A51" s="52" t="s">
        <v>185</v>
      </c>
      <c r="B51" s="53">
        <f>H14/2</f>
        <v>0</v>
      </c>
      <c r="C51" s="54" t="s">
        <v>69</v>
      </c>
      <c r="D51" s="55">
        <v>0</v>
      </c>
      <c r="E51" s="55">
        <v>0</v>
      </c>
      <c r="F51" s="55">
        <v>0</v>
      </c>
      <c r="G51" s="55">
        <v>0</v>
      </c>
      <c r="H51" s="55">
        <v>0</v>
      </c>
      <c r="I51" s="55">
        <v>0</v>
      </c>
      <c r="J51" s="56">
        <f t="shared" si="2"/>
        <v>0</v>
      </c>
      <c r="K51" s="56">
        <f t="shared" si="3"/>
        <v>0</v>
      </c>
      <c r="L51" s="56">
        <f t="shared" si="4"/>
        <v>0</v>
      </c>
      <c r="M51" s="56">
        <f t="shared" si="6"/>
        <v>0</v>
      </c>
      <c r="N51" s="56">
        <f t="shared" si="7"/>
        <v>0</v>
      </c>
      <c r="O51" s="56">
        <f t="shared" si="5"/>
        <v>0</v>
      </c>
    </row>
    <row r="52" spans="1:15" x14ac:dyDescent="0.2">
      <c r="A52" s="52" t="s">
        <v>184</v>
      </c>
      <c r="B52" s="53">
        <f>H14/4.5</f>
        <v>0</v>
      </c>
      <c r="C52" s="54" t="s">
        <v>69</v>
      </c>
      <c r="D52" s="55">
        <v>0</v>
      </c>
      <c r="E52" s="55">
        <v>0</v>
      </c>
      <c r="F52" s="55">
        <v>0</v>
      </c>
      <c r="G52" s="55">
        <v>0</v>
      </c>
      <c r="H52" s="55">
        <v>0</v>
      </c>
      <c r="I52" s="55">
        <v>0</v>
      </c>
      <c r="J52" s="56">
        <f t="shared" si="2"/>
        <v>0</v>
      </c>
      <c r="K52" s="56">
        <f t="shared" si="3"/>
        <v>0</v>
      </c>
      <c r="L52" s="56">
        <f t="shared" si="4"/>
        <v>0</v>
      </c>
      <c r="M52" s="56">
        <f t="shared" si="6"/>
        <v>0</v>
      </c>
      <c r="N52" s="56">
        <f t="shared" si="7"/>
        <v>0</v>
      </c>
      <c r="O52" s="56">
        <f t="shared" si="5"/>
        <v>0</v>
      </c>
    </row>
    <row r="53" spans="1:15" x14ac:dyDescent="0.2">
      <c r="A53" s="52" t="s">
        <v>127</v>
      </c>
      <c r="B53" s="53">
        <f>H14/2</f>
        <v>0</v>
      </c>
      <c r="C53" s="54" t="s">
        <v>69</v>
      </c>
      <c r="D53" s="55">
        <v>83</v>
      </c>
      <c r="E53" s="55">
        <v>84</v>
      </c>
      <c r="F53" s="55">
        <v>0</v>
      </c>
      <c r="G53" s="55">
        <v>83</v>
      </c>
      <c r="H53" s="55">
        <v>84</v>
      </c>
      <c r="I53" s="55">
        <v>0</v>
      </c>
      <c r="J53" s="56">
        <f t="shared" si="2"/>
        <v>0</v>
      </c>
      <c r="K53" s="56">
        <f t="shared" si="3"/>
        <v>0</v>
      </c>
      <c r="L53" s="56">
        <f t="shared" si="4"/>
        <v>0</v>
      </c>
      <c r="M53" s="56">
        <f t="shared" si="6"/>
        <v>0</v>
      </c>
      <c r="N53" s="56">
        <f t="shared" si="7"/>
        <v>0</v>
      </c>
      <c r="O53" s="56">
        <f t="shared" si="5"/>
        <v>0</v>
      </c>
    </row>
    <row r="54" spans="1:15" x14ac:dyDescent="0.2">
      <c r="A54" s="52" t="s">
        <v>17</v>
      </c>
      <c r="B54" s="57">
        <v>0</v>
      </c>
      <c r="C54" s="54" t="s">
        <v>71</v>
      </c>
      <c r="D54" s="55">
        <v>0</v>
      </c>
      <c r="E54" s="55">
        <v>0</v>
      </c>
      <c r="F54" s="55">
        <v>0</v>
      </c>
      <c r="G54" s="55">
        <v>0</v>
      </c>
      <c r="H54" s="55">
        <v>0</v>
      </c>
      <c r="I54" s="55">
        <v>0</v>
      </c>
      <c r="J54" s="56">
        <f t="shared" si="2"/>
        <v>0</v>
      </c>
      <c r="K54" s="56">
        <f t="shared" si="3"/>
        <v>0</v>
      </c>
      <c r="L54" s="56">
        <f t="shared" si="4"/>
        <v>0</v>
      </c>
      <c r="M54" s="56">
        <f t="shared" si="6"/>
        <v>0</v>
      </c>
      <c r="N54" s="56">
        <f t="shared" si="7"/>
        <v>0</v>
      </c>
      <c r="O54" s="56">
        <f t="shared" si="5"/>
        <v>0</v>
      </c>
    </row>
    <row r="55" spans="1:15" x14ac:dyDescent="0.2">
      <c r="A55" s="52" t="s">
        <v>18</v>
      </c>
      <c r="B55" s="53">
        <f>H14</f>
        <v>0</v>
      </c>
      <c r="C55" s="54" t="s">
        <v>70</v>
      </c>
      <c r="D55" s="55">
        <f>C20*32</f>
        <v>211.2</v>
      </c>
      <c r="E55" s="55">
        <f>C20*31.5</f>
        <v>207.89999999999998</v>
      </c>
      <c r="F55" s="55">
        <f>C20*31</f>
        <v>204.6</v>
      </c>
      <c r="G55" s="55">
        <f>C20*32</f>
        <v>211.2</v>
      </c>
      <c r="H55" s="55">
        <f>C20*31.5</f>
        <v>207.89999999999998</v>
      </c>
      <c r="I55" s="55">
        <f>C20*31</f>
        <v>204.6</v>
      </c>
      <c r="J55" s="56">
        <f t="shared" si="2"/>
        <v>0</v>
      </c>
      <c r="K55" s="56">
        <f t="shared" si="3"/>
        <v>0</v>
      </c>
      <c r="L55" s="56">
        <f t="shared" si="4"/>
        <v>0</v>
      </c>
      <c r="M55" s="56">
        <f t="shared" si="6"/>
        <v>0</v>
      </c>
      <c r="N55" s="56">
        <f t="shared" si="7"/>
        <v>0</v>
      </c>
      <c r="O55" s="56">
        <f t="shared" si="5"/>
        <v>0</v>
      </c>
    </row>
    <row r="56" spans="1:15" x14ac:dyDescent="0.2">
      <c r="A56" s="52" t="s">
        <v>19</v>
      </c>
      <c r="B56" s="53">
        <f>H14</f>
        <v>0</v>
      </c>
      <c r="C56" s="54" t="s">
        <v>70</v>
      </c>
      <c r="D56" s="55">
        <v>45</v>
      </c>
      <c r="E56" s="55">
        <v>44</v>
      </c>
      <c r="F56" s="55">
        <v>0</v>
      </c>
      <c r="G56" s="55">
        <v>47.13</v>
      </c>
      <c r="H56" s="55">
        <v>0</v>
      </c>
      <c r="I56" s="55">
        <v>43.65</v>
      </c>
      <c r="J56" s="56">
        <f t="shared" si="2"/>
        <v>0</v>
      </c>
      <c r="K56" s="56">
        <f t="shared" si="3"/>
        <v>0</v>
      </c>
      <c r="L56" s="56">
        <f t="shared" si="4"/>
        <v>0</v>
      </c>
      <c r="M56" s="56">
        <f t="shared" si="6"/>
        <v>0</v>
      </c>
      <c r="N56" s="56">
        <f t="shared" si="7"/>
        <v>0</v>
      </c>
      <c r="O56" s="56">
        <f t="shared" si="5"/>
        <v>0</v>
      </c>
    </row>
    <row r="57" spans="1:15" x14ac:dyDescent="0.2">
      <c r="A57" s="52" t="s">
        <v>20</v>
      </c>
      <c r="B57" s="53">
        <f>H14</f>
        <v>0</v>
      </c>
      <c r="C57" s="54" t="s">
        <v>70</v>
      </c>
      <c r="D57" s="55">
        <v>47.25</v>
      </c>
      <c r="E57" s="55">
        <v>47</v>
      </c>
      <c r="F57" s="55">
        <v>0</v>
      </c>
      <c r="G57" s="55">
        <v>49.43</v>
      </c>
      <c r="H57" s="55">
        <v>0</v>
      </c>
      <c r="I57" s="55">
        <v>46.74</v>
      </c>
      <c r="J57" s="56">
        <f t="shared" si="2"/>
        <v>0</v>
      </c>
      <c r="K57" s="56">
        <f t="shared" si="3"/>
        <v>0</v>
      </c>
      <c r="L57" s="56">
        <f t="shared" si="4"/>
        <v>0</v>
      </c>
      <c r="M57" s="56">
        <f t="shared" si="6"/>
        <v>0</v>
      </c>
      <c r="N57" s="56">
        <f t="shared" si="7"/>
        <v>0</v>
      </c>
      <c r="O57" s="56">
        <f t="shared" si="5"/>
        <v>0</v>
      </c>
    </row>
    <row r="58" spans="1:15" x14ac:dyDescent="0.2">
      <c r="A58" s="52" t="s">
        <v>21</v>
      </c>
      <c r="B58" s="53">
        <f>H14</f>
        <v>0</v>
      </c>
      <c r="C58" s="54" t="s">
        <v>70</v>
      </c>
      <c r="D58" s="55">
        <v>54</v>
      </c>
      <c r="E58" s="55">
        <v>54</v>
      </c>
      <c r="F58" s="55">
        <v>0</v>
      </c>
      <c r="G58" s="55">
        <v>56.32</v>
      </c>
      <c r="H58" s="55">
        <v>0</v>
      </c>
      <c r="I58" s="55">
        <v>0</v>
      </c>
      <c r="J58" s="56">
        <f t="shared" si="2"/>
        <v>0</v>
      </c>
      <c r="K58" s="56">
        <f t="shared" si="3"/>
        <v>0</v>
      </c>
      <c r="L58" s="56">
        <f t="shared" si="4"/>
        <v>0</v>
      </c>
      <c r="M58" s="56">
        <f t="shared" si="6"/>
        <v>0</v>
      </c>
      <c r="N58" s="56">
        <f t="shared" si="7"/>
        <v>0</v>
      </c>
      <c r="O58" s="56">
        <f t="shared" si="5"/>
        <v>0</v>
      </c>
    </row>
    <row r="59" spans="1:15" x14ac:dyDescent="0.2">
      <c r="A59" s="52" t="s">
        <v>22</v>
      </c>
      <c r="B59" s="57">
        <v>0</v>
      </c>
      <c r="C59" s="54" t="s">
        <v>72</v>
      </c>
      <c r="D59" s="55">
        <v>11.25</v>
      </c>
      <c r="E59" s="55">
        <v>11.75</v>
      </c>
      <c r="F59" s="55">
        <v>0</v>
      </c>
      <c r="G59" s="55">
        <v>13.66</v>
      </c>
      <c r="H59" s="55">
        <v>0</v>
      </c>
      <c r="I59" s="55">
        <v>10.8</v>
      </c>
      <c r="J59" s="56">
        <f t="shared" si="2"/>
        <v>0</v>
      </c>
      <c r="K59" s="56">
        <f t="shared" si="3"/>
        <v>0</v>
      </c>
      <c r="L59" s="56">
        <f t="shared" si="4"/>
        <v>0</v>
      </c>
      <c r="M59" s="56">
        <f t="shared" si="6"/>
        <v>0</v>
      </c>
      <c r="N59" s="56">
        <f t="shared" si="7"/>
        <v>0</v>
      </c>
      <c r="O59" s="56">
        <f t="shared" si="5"/>
        <v>0</v>
      </c>
    </row>
    <row r="60" spans="1:15" x14ac:dyDescent="0.2">
      <c r="A60" s="52" t="s">
        <v>23</v>
      </c>
      <c r="B60" s="57">
        <v>0</v>
      </c>
      <c r="C60" s="54" t="s">
        <v>72</v>
      </c>
      <c r="D60" s="55">
        <v>7.5</v>
      </c>
      <c r="E60" s="55">
        <v>8.25</v>
      </c>
      <c r="F60" s="55">
        <v>0</v>
      </c>
      <c r="G60" s="55">
        <v>9.11</v>
      </c>
      <c r="H60" s="55">
        <v>0</v>
      </c>
      <c r="I60" s="55">
        <v>0</v>
      </c>
      <c r="J60" s="56">
        <f t="shared" si="2"/>
        <v>0</v>
      </c>
      <c r="K60" s="56">
        <f t="shared" si="3"/>
        <v>0</v>
      </c>
      <c r="L60" s="56">
        <f t="shared" si="4"/>
        <v>0</v>
      </c>
      <c r="M60" s="56">
        <f t="shared" si="6"/>
        <v>0</v>
      </c>
      <c r="N60" s="56">
        <f t="shared" si="7"/>
        <v>0</v>
      </c>
      <c r="O60" s="56">
        <f t="shared" si="5"/>
        <v>0</v>
      </c>
    </row>
    <row r="61" spans="1:15" x14ac:dyDescent="0.2">
      <c r="A61" s="52" t="s">
        <v>24</v>
      </c>
      <c r="B61" s="57">
        <v>0</v>
      </c>
      <c r="C61" s="54" t="s">
        <v>72</v>
      </c>
      <c r="D61" s="55">
        <v>14.5</v>
      </c>
      <c r="E61" s="55">
        <v>16.5</v>
      </c>
      <c r="F61" s="55">
        <v>0</v>
      </c>
      <c r="G61" s="55">
        <v>17.8</v>
      </c>
      <c r="H61" s="55">
        <v>0</v>
      </c>
      <c r="I61" s="55">
        <v>0</v>
      </c>
      <c r="J61" s="56">
        <f t="shared" si="2"/>
        <v>0</v>
      </c>
      <c r="K61" s="56">
        <f t="shared" si="3"/>
        <v>0</v>
      </c>
      <c r="L61" s="56">
        <f t="shared" si="4"/>
        <v>0</v>
      </c>
      <c r="M61" s="56">
        <f t="shared" si="6"/>
        <v>0</v>
      </c>
      <c r="N61" s="56">
        <f t="shared" si="7"/>
        <v>0</v>
      </c>
      <c r="O61" s="56">
        <f t="shared" si="5"/>
        <v>0</v>
      </c>
    </row>
    <row r="62" spans="1:15" x14ac:dyDescent="0.2">
      <c r="A62" s="52" t="s">
        <v>25</v>
      </c>
      <c r="B62" s="57">
        <v>0</v>
      </c>
      <c r="C62" s="54" t="s">
        <v>72</v>
      </c>
      <c r="D62" s="55">
        <v>5.25</v>
      </c>
      <c r="E62" s="55">
        <v>5.9</v>
      </c>
      <c r="F62" s="55">
        <v>0</v>
      </c>
      <c r="G62" s="55">
        <v>5.36</v>
      </c>
      <c r="H62" s="55">
        <v>0</v>
      </c>
      <c r="I62" s="55">
        <v>0</v>
      </c>
      <c r="J62" s="56">
        <f t="shared" si="2"/>
        <v>0</v>
      </c>
      <c r="K62" s="56">
        <f t="shared" si="3"/>
        <v>0</v>
      </c>
      <c r="L62" s="56">
        <f t="shared" si="4"/>
        <v>0</v>
      </c>
      <c r="M62" s="56">
        <f t="shared" si="6"/>
        <v>0</v>
      </c>
      <c r="N62" s="56">
        <f t="shared" si="7"/>
        <v>0</v>
      </c>
      <c r="O62" s="56">
        <f t="shared" si="5"/>
        <v>0</v>
      </c>
    </row>
    <row r="63" spans="1:15" x14ac:dyDescent="0.2">
      <c r="A63" s="52" t="s">
        <v>26</v>
      </c>
      <c r="B63" s="57">
        <v>0</v>
      </c>
      <c r="C63" s="54" t="s">
        <v>72</v>
      </c>
      <c r="D63" s="55">
        <v>8.75</v>
      </c>
      <c r="E63" s="55">
        <v>9.8000000000000007</v>
      </c>
      <c r="F63" s="55">
        <v>0</v>
      </c>
      <c r="G63" s="55">
        <v>8.94</v>
      </c>
      <c r="H63" s="55">
        <v>0</v>
      </c>
      <c r="I63" s="55">
        <v>0</v>
      </c>
      <c r="J63" s="56">
        <f t="shared" si="2"/>
        <v>0</v>
      </c>
      <c r="K63" s="56">
        <f t="shared" si="3"/>
        <v>0</v>
      </c>
      <c r="L63" s="56">
        <f t="shared" si="4"/>
        <v>0</v>
      </c>
      <c r="M63" s="56">
        <f t="shared" si="6"/>
        <v>0</v>
      </c>
      <c r="N63" s="56">
        <f t="shared" si="7"/>
        <v>0</v>
      </c>
      <c r="O63" s="56">
        <f t="shared" si="5"/>
        <v>0</v>
      </c>
    </row>
    <row r="64" spans="1:15" x14ac:dyDescent="0.2">
      <c r="A64" s="52" t="s">
        <v>27</v>
      </c>
      <c r="B64" s="57">
        <v>0</v>
      </c>
      <c r="C64" s="54" t="s">
        <v>72</v>
      </c>
      <c r="D64" s="55">
        <v>12.25</v>
      </c>
      <c r="E64" s="55">
        <v>13.7</v>
      </c>
      <c r="F64" s="55">
        <v>0</v>
      </c>
      <c r="G64" s="55">
        <v>12.52</v>
      </c>
      <c r="H64" s="55">
        <v>0</v>
      </c>
      <c r="I64" s="55">
        <v>0</v>
      </c>
      <c r="J64" s="56">
        <f t="shared" si="2"/>
        <v>0</v>
      </c>
      <c r="K64" s="56">
        <f t="shared" si="3"/>
        <v>0</v>
      </c>
      <c r="L64" s="56">
        <f t="shared" si="4"/>
        <v>0</v>
      </c>
      <c r="M64" s="56">
        <f t="shared" si="6"/>
        <v>0</v>
      </c>
      <c r="N64" s="56">
        <f t="shared" si="7"/>
        <v>0</v>
      </c>
      <c r="O64" s="56">
        <f t="shared" si="5"/>
        <v>0</v>
      </c>
    </row>
    <row r="65" spans="1:15" x14ac:dyDescent="0.2">
      <c r="A65" s="52" t="s">
        <v>28</v>
      </c>
      <c r="B65" s="57">
        <v>0</v>
      </c>
      <c r="C65" s="54" t="s">
        <v>72</v>
      </c>
      <c r="D65" s="55">
        <v>15.75</v>
      </c>
      <c r="E65" s="55">
        <v>17.600000000000001</v>
      </c>
      <c r="F65" s="55">
        <v>0</v>
      </c>
      <c r="G65" s="55">
        <v>16.09</v>
      </c>
      <c r="H65" s="55">
        <v>0</v>
      </c>
      <c r="I65" s="55">
        <v>0</v>
      </c>
      <c r="J65" s="56">
        <f t="shared" si="2"/>
        <v>0</v>
      </c>
      <c r="K65" s="56">
        <f t="shared" si="3"/>
        <v>0</v>
      </c>
      <c r="L65" s="56">
        <f t="shared" si="4"/>
        <v>0</v>
      </c>
      <c r="M65" s="56">
        <f t="shared" si="6"/>
        <v>0</v>
      </c>
      <c r="N65" s="56">
        <f t="shared" si="7"/>
        <v>0</v>
      </c>
      <c r="O65" s="56">
        <f t="shared" si="5"/>
        <v>0</v>
      </c>
    </row>
    <row r="66" spans="1:15" x14ac:dyDescent="0.2">
      <c r="A66" s="52" t="s">
        <v>29</v>
      </c>
      <c r="B66" s="57">
        <v>0</v>
      </c>
      <c r="C66" s="54" t="s">
        <v>72</v>
      </c>
      <c r="D66" s="55">
        <v>11.5</v>
      </c>
      <c r="E66" s="55">
        <v>10.27</v>
      </c>
      <c r="F66" s="55">
        <v>0</v>
      </c>
      <c r="G66" s="55">
        <v>10.27</v>
      </c>
      <c r="H66" s="55">
        <v>0</v>
      </c>
      <c r="I66" s="55">
        <v>0</v>
      </c>
      <c r="J66" s="56">
        <f t="shared" si="2"/>
        <v>0</v>
      </c>
      <c r="K66" s="56">
        <f t="shared" si="3"/>
        <v>0</v>
      </c>
      <c r="L66" s="56">
        <f t="shared" si="4"/>
        <v>0</v>
      </c>
      <c r="M66" s="56">
        <f t="shared" si="6"/>
        <v>0</v>
      </c>
      <c r="N66" s="56">
        <f t="shared" si="7"/>
        <v>0</v>
      </c>
      <c r="O66" s="56">
        <f t="shared" si="5"/>
        <v>0</v>
      </c>
    </row>
    <row r="67" spans="1:15" x14ac:dyDescent="0.2">
      <c r="A67" s="52" t="s">
        <v>171</v>
      </c>
      <c r="B67" s="57">
        <v>0</v>
      </c>
      <c r="C67" s="54" t="s">
        <v>73</v>
      </c>
      <c r="D67" s="55">
        <v>58.75</v>
      </c>
      <c r="E67" s="55">
        <v>56</v>
      </c>
      <c r="F67" s="55">
        <v>0</v>
      </c>
      <c r="G67" s="55">
        <v>55.46</v>
      </c>
      <c r="H67" s="55">
        <v>0</v>
      </c>
      <c r="I67" s="55">
        <v>52.4</v>
      </c>
      <c r="J67" s="56">
        <f t="shared" si="2"/>
        <v>0</v>
      </c>
      <c r="K67" s="56">
        <f t="shared" si="3"/>
        <v>0</v>
      </c>
      <c r="L67" s="56">
        <f t="shared" si="4"/>
        <v>0</v>
      </c>
      <c r="M67" s="56">
        <f t="shared" si="6"/>
        <v>0</v>
      </c>
      <c r="N67" s="56">
        <f t="shared" si="7"/>
        <v>0</v>
      </c>
      <c r="O67" s="56">
        <f t="shared" si="5"/>
        <v>0</v>
      </c>
    </row>
    <row r="68" spans="1:15" x14ac:dyDescent="0.2">
      <c r="A68" s="52" t="s">
        <v>179</v>
      </c>
      <c r="B68" s="57">
        <v>0</v>
      </c>
      <c r="C68" s="54" t="s">
        <v>73</v>
      </c>
      <c r="D68" s="55">
        <v>82.5</v>
      </c>
      <c r="E68" s="55">
        <v>78</v>
      </c>
      <c r="F68" s="55">
        <v>80.73</v>
      </c>
      <c r="G68" s="55">
        <v>64.680000000000007</v>
      </c>
      <c r="H68" s="55">
        <v>0</v>
      </c>
      <c r="I68" s="55">
        <v>61.1</v>
      </c>
      <c r="J68" s="56">
        <f t="shared" si="2"/>
        <v>0</v>
      </c>
      <c r="K68" s="56">
        <f t="shared" si="3"/>
        <v>0</v>
      </c>
      <c r="L68" s="56">
        <f t="shared" si="4"/>
        <v>0</v>
      </c>
      <c r="M68" s="56">
        <f t="shared" si="6"/>
        <v>0</v>
      </c>
      <c r="N68" s="56">
        <f t="shared" si="7"/>
        <v>0</v>
      </c>
      <c r="O68" s="56">
        <f t="shared" si="5"/>
        <v>0</v>
      </c>
    </row>
    <row r="69" spans="1:15" x14ac:dyDescent="0.2">
      <c r="A69" s="52" t="s">
        <v>180</v>
      </c>
      <c r="B69" s="57">
        <v>0</v>
      </c>
      <c r="C69" s="54" t="s">
        <v>73</v>
      </c>
      <c r="D69" s="55">
        <v>112.25</v>
      </c>
      <c r="E69" s="55">
        <v>108</v>
      </c>
      <c r="F69" s="55">
        <v>110.15</v>
      </c>
      <c r="G69" s="55">
        <v>83.16</v>
      </c>
      <c r="H69" s="55">
        <v>0</v>
      </c>
      <c r="I69" s="55">
        <v>78.55</v>
      </c>
      <c r="J69" s="56">
        <f t="shared" si="2"/>
        <v>0</v>
      </c>
      <c r="K69" s="56">
        <f t="shared" si="3"/>
        <v>0</v>
      </c>
      <c r="L69" s="56">
        <f t="shared" si="4"/>
        <v>0</v>
      </c>
      <c r="M69" s="56">
        <f t="shared" si="6"/>
        <v>0</v>
      </c>
      <c r="N69" s="56">
        <f t="shared" si="7"/>
        <v>0</v>
      </c>
      <c r="O69" s="56">
        <f t="shared" si="5"/>
        <v>0</v>
      </c>
    </row>
    <row r="70" spans="1:15" x14ac:dyDescent="0.2">
      <c r="A70" s="52" t="s">
        <v>158</v>
      </c>
      <c r="B70" s="57">
        <v>0</v>
      </c>
      <c r="C70" s="54" t="s">
        <v>73</v>
      </c>
      <c r="D70" s="55">
        <v>135.5</v>
      </c>
      <c r="E70" s="55">
        <v>136</v>
      </c>
      <c r="F70" s="55">
        <v>140.33000000000001</v>
      </c>
      <c r="G70" s="55">
        <v>103.95</v>
      </c>
      <c r="H70" s="55">
        <v>0</v>
      </c>
      <c r="I70" s="55">
        <v>98.2</v>
      </c>
      <c r="J70" s="56">
        <f t="shared" si="2"/>
        <v>0</v>
      </c>
      <c r="K70" s="56">
        <f t="shared" si="3"/>
        <v>0</v>
      </c>
      <c r="L70" s="56">
        <f t="shared" si="4"/>
        <v>0</v>
      </c>
      <c r="M70" s="56">
        <f t="shared" si="6"/>
        <v>0</v>
      </c>
      <c r="N70" s="56">
        <f t="shared" si="7"/>
        <v>0</v>
      </c>
      <c r="O70" s="56">
        <f t="shared" si="5"/>
        <v>0</v>
      </c>
    </row>
    <row r="71" spans="1:15" x14ac:dyDescent="0.2">
      <c r="A71" s="52" t="s">
        <v>159</v>
      </c>
      <c r="B71" s="57">
        <v>0</v>
      </c>
      <c r="C71" s="54" t="s">
        <v>73</v>
      </c>
      <c r="D71" s="55">
        <v>194.75</v>
      </c>
      <c r="E71" s="55">
        <v>185</v>
      </c>
      <c r="F71" s="55">
        <v>190.88</v>
      </c>
      <c r="G71" s="55">
        <v>143.26</v>
      </c>
      <c r="H71" s="55">
        <v>0</v>
      </c>
      <c r="I71" s="55">
        <v>135.30000000000001</v>
      </c>
      <c r="J71" s="56">
        <f t="shared" si="2"/>
        <v>0</v>
      </c>
      <c r="K71" s="56">
        <f t="shared" si="3"/>
        <v>0</v>
      </c>
      <c r="L71" s="56">
        <f t="shared" si="4"/>
        <v>0</v>
      </c>
      <c r="M71" s="56">
        <f t="shared" si="6"/>
        <v>0</v>
      </c>
      <c r="N71" s="56">
        <f t="shared" si="7"/>
        <v>0</v>
      </c>
      <c r="O71" s="56">
        <f t="shared" si="5"/>
        <v>0</v>
      </c>
    </row>
    <row r="72" spans="1:15" x14ac:dyDescent="0.2">
      <c r="A72" s="52" t="s">
        <v>160</v>
      </c>
      <c r="B72" s="57">
        <v>0</v>
      </c>
      <c r="C72" s="54" t="s">
        <v>73</v>
      </c>
      <c r="D72" s="55">
        <v>251</v>
      </c>
      <c r="E72" s="55">
        <v>245</v>
      </c>
      <c r="F72" s="55">
        <v>252</v>
      </c>
      <c r="G72" s="55">
        <v>173.28</v>
      </c>
      <c r="H72" s="55">
        <v>0</v>
      </c>
      <c r="I72" s="55">
        <v>163.69999999999999</v>
      </c>
      <c r="J72" s="56">
        <f t="shared" si="2"/>
        <v>0</v>
      </c>
      <c r="K72" s="56">
        <f t="shared" si="3"/>
        <v>0</v>
      </c>
      <c r="L72" s="56">
        <f t="shared" si="4"/>
        <v>0</v>
      </c>
      <c r="M72" s="56">
        <f t="shared" si="6"/>
        <v>0</v>
      </c>
      <c r="N72" s="56">
        <f t="shared" si="7"/>
        <v>0</v>
      </c>
      <c r="O72" s="56">
        <f t="shared" si="5"/>
        <v>0</v>
      </c>
    </row>
    <row r="73" spans="1:15" x14ac:dyDescent="0.2">
      <c r="A73" s="52" t="s">
        <v>161</v>
      </c>
      <c r="B73" s="57">
        <v>0</v>
      </c>
      <c r="C73" s="54" t="s">
        <v>73</v>
      </c>
      <c r="D73" s="55">
        <v>379.5</v>
      </c>
      <c r="E73" s="55">
        <v>360</v>
      </c>
      <c r="F73" s="55">
        <v>372.7</v>
      </c>
      <c r="G73" s="55">
        <v>237.98</v>
      </c>
      <c r="H73" s="55">
        <v>0</v>
      </c>
      <c r="I73" s="55">
        <v>224.8</v>
      </c>
      <c r="J73" s="56">
        <f t="shared" si="2"/>
        <v>0</v>
      </c>
      <c r="K73" s="56">
        <f t="shared" si="3"/>
        <v>0</v>
      </c>
      <c r="L73" s="56">
        <f t="shared" si="4"/>
        <v>0</v>
      </c>
      <c r="M73" s="56">
        <f t="shared" si="6"/>
        <v>0</v>
      </c>
      <c r="N73" s="56">
        <f t="shared" si="7"/>
        <v>0</v>
      </c>
      <c r="O73" s="56">
        <f t="shared" si="5"/>
        <v>0</v>
      </c>
    </row>
    <row r="74" spans="1:15" x14ac:dyDescent="0.2">
      <c r="A74" s="52" t="s">
        <v>162</v>
      </c>
      <c r="B74" s="57">
        <v>0</v>
      </c>
      <c r="C74" s="54" t="s">
        <v>73</v>
      </c>
      <c r="D74" s="55">
        <v>432.5</v>
      </c>
      <c r="E74" s="55">
        <v>426</v>
      </c>
      <c r="F74" s="55">
        <v>440.62</v>
      </c>
      <c r="G74" s="55">
        <v>270.32</v>
      </c>
      <c r="H74" s="55">
        <v>0</v>
      </c>
      <c r="I74" s="55">
        <v>255.3</v>
      </c>
      <c r="J74" s="56">
        <f t="shared" si="2"/>
        <v>0</v>
      </c>
      <c r="K74" s="56">
        <f t="shared" si="3"/>
        <v>0</v>
      </c>
      <c r="L74" s="56">
        <f t="shared" si="4"/>
        <v>0</v>
      </c>
      <c r="M74" s="56">
        <f t="shared" si="6"/>
        <v>0</v>
      </c>
      <c r="N74" s="56">
        <f t="shared" si="7"/>
        <v>0</v>
      </c>
      <c r="O74" s="56">
        <f t="shared" si="5"/>
        <v>0</v>
      </c>
    </row>
    <row r="75" spans="1:15" x14ac:dyDescent="0.2">
      <c r="A75" s="52" t="s">
        <v>163</v>
      </c>
      <c r="B75" s="57">
        <v>0</v>
      </c>
      <c r="C75" s="54" t="s">
        <v>73</v>
      </c>
      <c r="D75" s="55">
        <v>488.5</v>
      </c>
      <c r="E75" s="55">
        <v>548</v>
      </c>
      <c r="F75" s="55">
        <v>0</v>
      </c>
      <c r="G75" s="55">
        <v>462.08</v>
      </c>
      <c r="H75" s="55">
        <v>0</v>
      </c>
      <c r="I75" s="55">
        <v>0</v>
      </c>
      <c r="J75" s="56">
        <f t="shared" si="2"/>
        <v>0</v>
      </c>
      <c r="K75" s="56">
        <f t="shared" si="3"/>
        <v>0</v>
      </c>
      <c r="L75" s="56">
        <f t="shared" si="4"/>
        <v>0</v>
      </c>
      <c r="M75" s="56">
        <f t="shared" si="6"/>
        <v>0</v>
      </c>
      <c r="N75" s="56">
        <f t="shared" si="7"/>
        <v>0</v>
      </c>
      <c r="O75" s="56">
        <f t="shared" si="5"/>
        <v>0</v>
      </c>
    </row>
    <row r="76" spans="1:15" x14ac:dyDescent="0.2">
      <c r="A76" s="52" t="s">
        <v>164</v>
      </c>
      <c r="B76" s="57">
        <v>0</v>
      </c>
      <c r="C76" s="54" t="s">
        <v>73</v>
      </c>
      <c r="D76" s="55">
        <v>700</v>
      </c>
      <c r="E76" s="55">
        <v>678</v>
      </c>
      <c r="F76" s="55">
        <v>701.64</v>
      </c>
      <c r="G76" s="55">
        <v>496.7</v>
      </c>
      <c r="H76" s="55">
        <v>0</v>
      </c>
      <c r="I76" s="55">
        <v>0</v>
      </c>
      <c r="J76" s="56">
        <f t="shared" si="2"/>
        <v>0</v>
      </c>
      <c r="K76" s="56">
        <f t="shared" si="3"/>
        <v>0</v>
      </c>
      <c r="L76" s="56">
        <f t="shared" si="4"/>
        <v>0</v>
      </c>
      <c r="M76" s="56">
        <f t="shared" si="6"/>
        <v>0</v>
      </c>
      <c r="N76" s="56">
        <f t="shared" si="7"/>
        <v>0</v>
      </c>
      <c r="O76" s="56">
        <f t="shared" si="5"/>
        <v>0</v>
      </c>
    </row>
    <row r="77" spans="1:15" x14ac:dyDescent="0.2">
      <c r="A77" s="52" t="s">
        <v>165</v>
      </c>
      <c r="B77" s="57">
        <v>0</v>
      </c>
      <c r="C77" s="54" t="s">
        <v>73</v>
      </c>
      <c r="D77" s="55">
        <v>755</v>
      </c>
      <c r="E77" s="55">
        <v>717</v>
      </c>
      <c r="F77" s="55">
        <v>0</v>
      </c>
      <c r="G77" s="55">
        <v>531.36</v>
      </c>
      <c r="H77" s="55">
        <v>0</v>
      </c>
      <c r="I77" s="55">
        <v>0</v>
      </c>
      <c r="J77" s="56">
        <f t="shared" si="2"/>
        <v>0</v>
      </c>
      <c r="K77" s="56">
        <f t="shared" si="3"/>
        <v>0</v>
      </c>
      <c r="L77" s="56">
        <f t="shared" si="4"/>
        <v>0</v>
      </c>
      <c r="M77" s="56">
        <f t="shared" si="6"/>
        <v>0</v>
      </c>
      <c r="N77" s="56">
        <f t="shared" si="7"/>
        <v>0</v>
      </c>
      <c r="O77" s="56">
        <f t="shared" si="5"/>
        <v>0</v>
      </c>
    </row>
    <row r="78" spans="1:15" x14ac:dyDescent="0.2">
      <c r="A78" s="52" t="s">
        <v>166</v>
      </c>
      <c r="B78" s="57">
        <v>0</v>
      </c>
      <c r="C78" s="54" t="s">
        <v>73</v>
      </c>
      <c r="D78" s="55">
        <v>810.5</v>
      </c>
      <c r="E78" s="55">
        <v>766</v>
      </c>
      <c r="F78" s="55">
        <v>793.7</v>
      </c>
      <c r="G78" s="55">
        <v>589.12</v>
      </c>
      <c r="H78" s="55">
        <v>0</v>
      </c>
      <c r="I78" s="55">
        <v>0</v>
      </c>
      <c r="J78" s="56">
        <f t="shared" si="2"/>
        <v>0</v>
      </c>
      <c r="K78" s="56">
        <f t="shared" si="3"/>
        <v>0</v>
      </c>
      <c r="L78" s="56">
        <f t="shared" si="4"/>
        <v>0</v>
      </c>
      <c r="M78" s="56">
        <f t="shared" si="6"/>
        <v>0</v>
      </c>
      <c r="N78" s="56">
        <f t="shared" si="7"/>
        <v>0</v>
      </c>
      <c r="O78" s="56">
        <f t="shared" si="5"/>
        <v>0</v>
      </c>
    </row>
    <row r="79" spans="1:15" x14ac:dyDescent="0.2">
      <c r="A79" s="52" t="s">
        <v>167</v>
      </c>
      <c r="B79" s="57">
        <v>0</v>
      </c>
      <c r="C79" s="54" t="s">
        <v>73</v>
      </c>
      <c r="D79" s="55">
        <v>879.5</v>
      </c>
      <c r="E79" s="55">
        <v>834</v>
      </c>
      <c r="F79" s="55">
        <v>863.06</v>
      </c>
      <c r="G79" s="55">
        <v>739.28</v>
      </c>
      <c r="H79" s="55">
        <v>0</v>
      </c>
      <c r="I79" s="55">
        <v>0</v>
      </c>
      <c r="J79" s="56">
        <f t="shared" ref="J79:J82" si="8">B79*D79</f>
        <v>0</v>
      </c>
      <c r="K79" s="56">
        <f t="shared" ref="K79:K82" si="9">B79*E79</f>
        <v>0</v>
      </c>
      <c r="L79" s="56">
        <f t="shared" ref="L79:L82" si="10">B79*F79</f>
        <v>0</v>
      </c>
      <c r="M79" s="56">
        <f t="shared" si="6"/>
        <v>0</v>
      </c>
      <c r="N79" s="56">
        <f t="shared" si="7"/>
        <v>0</v>
      </c>
      <c r="O79" s="56">
        <f t="shared" ref="O79:O82" si="11">B79*I79</f>
        <v>0</v>
      </c>
    </row>
    <row r="80" spans="1:15" x14ac:dyDescent="0.2">
      <c r="A80" s="52" t="s">
        <v>169</v>
      </c>
      <c r="B80" s="57">
        <v>0</v>
      </c>
      <c r="C80" s="54" t="s">
        <v>73</v>
      </c>
      <c r="D80" s="58">
        <v>1377</v>
      </c>
      <c r="E80" s="55">
        <v>0</v>
      </c>
      <c r="F80" s="58">
        <v>1349.84</v>
      </c>
      <c r="G80" s="55">
        <v>924.12</v>
      </c>
      <c r="H80" s="55">
        <v>0</v>
      </c>
      <c r="I80" s="55">
        <v>0</v>
      </c>
      <c r="J80" s="56">
        <f t="shared" si="8"/>
        <v>0</v>
      </c>
      <c r="K80" s="56">
        <f t="shared" si="9"/>
        <v>0</v>
      </c>
      <c r="L80" s="56">
        <f t="shared" si="10"/>
        <v>0</v>
      </c>
      <c r="M80" s="56">
        <f t="shared" si="6"/>
        <v>0</v>
      </c>
      <c r="N80" s="56">
        <f t="shared" si="7"/>
        <v>0</v>
      </c>
      <c r="O80" s="56">
        <f t="shared" si="11"/>
        <v>0</v>
      </c>
    </row>
    <row r="81" spans="1:15" x14ac:dyDescent="0.2">
      <c r="A81" s="52" t="s">
        <v>168</v>
      </c>
      <c r="B81" s="57">
        <v>0</v>
      </c>
      <c r="C81" s="54" t="s">
        <v>73</v>
      </c>
      <c r="D81" s="55">
        <v>0</v>
      </c>
      <c r="E81" s="55">
        <v>0</v>
      </c>
      <c r="F81" s="58">
        <v>1373.12</v>
      </c>
      <c r="G81" s="58">
        <v>1495.56</v>
      </c>
      <c r="H81" s="55">
        <v>0</v>
      </c>
      <c r="I81" s="55">
        <v>0</v>
      </c>
      <c r="J81" s="56">
        <f t="shared" si="8"/>
        <v>0</v>
      </c>
      <c r="K81" s="56">
        <f t="shared" si="9"/>
        <v>0</v>
      </c>
      <c r="L81" s="56">
        <f t="shared" si="10"/>
        <v>0</v>
      </c>
      <c r="M81" s="56">
        <f t="shared" si="6"/>
        <v>0</v>
      </c>
      <c r="N81" s="56">
        <f t="shared" si="7"/>
        <v>0</v>
      </c>
      <c r="O81" s="56">
        <f t="shared" si="11"/>
        <v>0</v>
      </c>
    </row>
    <row r="82" spans="1:15" x14ac:dyDescent="0.2">
      <c r="A82" s="52" t="s">
        <v>170</v>
      </c>
      <c r="B82" s="57">
        <v>0</v>
      </c>
      <c r="C82" s="54" t="s">
        <v>73</v>
      </c>
      <c r="D82" s="55">
        <v>0</v>
      </c>
      <c r="E82" s="55">
        <v>0</v>
      </c>
      <c r="F82" s="55">
        <v>0</v>
      </c>
      <c r="G82" s="58">
        <v>2063.16</v>
      </c>
      <c r="H82" s="55">
        <v>0</v>
      </c>
      <c r="I82" s="55">
        <v>0</v>
      </c>
      <c r="J82" s="56">
        <f t="shared" si="8"/>
        <v>0</v>
      </c>
      <c r="K82" s="56">
        <f t="shared" si="9"/>
        <v>0</v>
      </c>
      <c r="L82" s="56">
        <f t="shared" si="10"/>
        <v>0</v>
      </c>
      <c r="M82" s="56">
        <f t="shared" si="6"/>
        <v>0</v>
      </c>
      <c r="N82" s="56">
        <f t="shared" si="7"/>
        <v>0</v>
      </c>
      <c r="O82" s="56">
        <f t="shared" si="11"/>
        <v>0</v>
      </c>
    </row>
    <row r="83" spans="1:15" x14ac:dyDescent="0.2">
      <c r="A83" s="52" t="s">
        <v>30</v>
      </c>
      <c r="B83" s="57">
        <v>0</v>
      </c>
      <c r="C83" s="54" t="s">
        <v>73</v>
      </c>
      <c r="D83" s="55">
        <v>0</v>
      </c>
      <c r="E83" s="55">
        <v>0</v>
      </c>
      <c r="F83" s="55">
        <v>0</v>
      </c>
      <c r="G83" s="55">
        <v>0</v>
      </c>
      <c r="H83" s="55">
        <v>0</v>
      </c>
      <c r="I83" s="55">
        <v>0</v>
      </c>
      <c r="J83" s="56">
        <f t="shared" ref="J83:J122" si="12">B83*D83</f>
        <v>0</v>
      </c>
      <c r="K83" s="56">
        <f t="shared" ref="K83:K122" si="13">B83*E83</f>
        <v>0</v>
      </c>
      <c r="L83" s="56">
        <f t="shared" ref="L83:L122" si="14">B83*F83</f>
        <v>0</v>
      </c>
      <c r="M83" s="56">
        <f t="shared" si="6"/>
        <v>0</v>
      </c>
      <c r="N83" s="56">
        <f t="shared" si="7"/>
        <v>0</v>
      </c>
      <c r="O83" s="56">
        <f t="shared" ref="O83:O122" si="15">B83*I83</f>
        <v>0</v>
      </c>
    </row>
    <row r="84" spans="1:15" x14ac:dyDescent="0.2">
      <c r="A84" s="52" t="s">
        <v>178</v>
      </c>
      <c r="B84" s="57">
        <v>0</v>
      </c>
      <c r="C84" s="54" t="s">
        <v>72</v>
      </c>
      <c r="D84" s="55">
        <v>164.25</v>
      </c>
      <c r="E84" s="55">
        <v>170</v>
      </c>
      <c r="F84" s="55">
        <v>0</v>
      </c>
      <c r="G84" s="55">
        <v>192.68</v>
      </c>
      <c r="H84" s="55">
        <v>0</v>
      </c>
      <c r="I84" s="55">
        <v>171.91</v>
      </c>
      <c r="J84" s="56">
        <f>B84*D84</f>
        <v>0</v>
      </c>
      <c r="K84" s="56">
        <f>B84*E84</f>
        <v>0</v>
      </c>
      <c r="L84" s="56">
        <f>B84*F84</f>
        <v>0</v>
      </c>
      <c r="M84" s="56">
        <f>B84*G84</f>
        <v>0</v>
      </c>
      <c r="N84" s="56">
        <f>B84*H84</f>
        <v>0</v>
      </c>
      <c r="O84" s="56">
        <f>B84*I84</f>
        <v>0</v>
      </c>
    </row>
    <row r="85" spans="1:15" x14ac:dyDescent="0.2">
      <c r="A85" s="52" t="s">
        <v>31</v>
      </c>
      <c r="B85" s="53">
        <f>J5/1000</f>
        <v>0</v>
      </c>
      <c r="C85" s="54" t="s">
        <v>73</v>
      </c>
      <c r="D85" s="55">
        <v>85</v>
      </c>
      <c r="E85" s="55">
        <v>82</v>
      </c>
      <c r="F85" s="55">
        <v>82.99</v>
      </c>
      <c r="G85" s="55">
        <v>88.54</v>
      </c>
      <c r="H85" s="55">
        <v>86.5</v>
      </c>
      <c r="I85" s="55">
        <v>91.78</v>
      </c>
      <c r="J85" s="56">
        <f t="shared" si="12"/>
        <v>0</v>
      </c>
      <c r="K85" s="56">
        <f t="shared" si="13"/>
        <v>0</v>
      </c>
      <c r="L85" s="56">
        <f t="shared" si="14"/>
        <v>0</v>
      </c>
      <c r="M85" s="56">
        <f t="shared" si="6"/>
        <v>0</v>
      </c>
      <c r="N85" s="56">
        <f t="shared" si="7"/>
        <v>0</v>
      </c>
      <c r="O85" s="56">
        <f t="shared" si="15"/>
        <v>0</v>
      </c>
    </row>
    <row r="86" spans="1:15" x14ac:dyDescent="0.2">
      <c r="A86" s="52" t="s">
        <v>33</v>
      </c>
      <c r="B86" s="53">
        <f>J9/1000</f>
        <v>0</v>
      </c>
      <c r="C86" s="54" t="s">
        <v>73</v>
      </c>
      <c r="D86" s="55">
        <v>85</v>
      </c>
      <c r="E86" s="55">
        <v>82</v>
      </c>
      <c r="F86" s="55">
        <v>0</v>
      </c>
      <c r="G86" s="55">
        <v>88.54</v>
      </c>
      <c r="H86" s="55">
        <v>0</v>
      </c>
      <c r="I86" s="55">
        <v>91.78</v>
      </c>
      <c r="J86" s="56">
        <f t="shared" si="12"/>
        <v>0</v>
      </c>
      <c r="K86" s="56">
        <f t="shared" si="13"/>
        <v>0</v>
      </c>
      <c r="L86" s="56">
        <f t="shared" si="14"/>
        <v>0</v>
      </c>
      <c r="M86" s="56">
        <f t="shared" si="6"/>
        <v>0</v>
      </c>
      <c r="N86" s="56">
        <f t="shared" si="7"/>
        <v>0</v>
      </c>
      <c r="O86" s="56">
        <f t="shared" si="15"/>
        <v>0</v>
      </c>
    </row>
    <row r="87" spans="1:15" x14ac:dyDescent="0.2">
      <c r="A87" s="52" t="s">
        <v>32</v>
      </c>
      <c r="B87" s="53">
        <f>J10/1000</f>
        <v>0</v>
      </c>
      <c r="C87" s="54" t="s">
        <v>73</v>
      </c>
      <c r="D87" s="55">
        <v>156.75</v>
      </c>
      <c r="E87" s="55">
        <v>150</v>
      </c>
      <c r="F87" s="55">
        <v>155.41999999999999</v>
      </c>
      <c r="G87" s="55">
        <v>137.44999999999999</v>
      </c>
      <c r="H87" s="55">
        <v>135</v>
      </c>
      <c r="I87" s="55">
        <v>146.05000000000001</v>
      </c>
      <c r="J87" s="56">
        <f t="shared" si="12"/>
        <v>0</v>
      </c>
      <c r="K87" s="56">
        <f t="shared" si="13"/>
        <v>0</v>
      </c>
      <c r="L87" s="56">
        <f t="shared" si="14"/>
        <v>0</v>
      </c>
      <c r="M87" s="56">
        <f t="shared" si="6"/>
        <v>0</v>
      </c>
      <c r="N87" s="56">
        <f t="shared" si="7"/>
        <v>0</v>
      </c>
      <c r="O87" s="56">
        <f t="shared" si="15"/>
        <v>0</v>
      </c>
    </row>
    <row r="88" spans="1:15" x14ac:dyDescent="0.2">
      <c r="A88" s="52" t="s">
        <v>35</v>
      </c>
      <c r="B88" s="53">
        <f>H16/10</f>
        <v>0</v>
      </c>
      <c r="C88" s="54" t="s">
        <v>69</v>
      </c>
      <c r="D88" s="55">
        <v>450</v>
      </c>
      <c r="E88" s="55">
        <v>430</v>
      </c>
      <c r="F88" s="55">
        <v>0</v>
      </c>
      <c r="G88" s="55">
        <v>430</v>
      </c>
      <c r="H88" s="55">
        <v>0</v>
      </c>
      <c r="I88" s="55">
        <v>0</v>
      </c>
      <c r="J88" s="56">
        <f t="shared" si="12"/>
        <v>0</v>
      </c>
      <c r="K88" s="56">
        <f t="shared" si="13"/>
        <v>0</v>
      </c>
      <c r="L88" s="56">
        <f t="shared" si="14"/>
        <v>0</v>
      </c>
      <c r="M88" s="56">
        <f t="shared" si="6"/>
        <v>0</v>
      </c>
      <c r="N88" s="56">
        <f t="shared" si="7"/>
        <v>0</v>
      </c>
      <c r="O88" s="56">
        <f t="shared" si="15"/>
        <v>0</v>
      </c>
    </row>
    <row r="89" spans="1:15" x14ac:dyDescent="0.2">
      <c r="A89" s="52" t="s">
        <v>34</v>
      </c>
      <c r="B89" s="53">
        <f>H16/10</f>
        <v>0</v>
      </c>
      <c r="C89" s="54" t="s">
        <v>69</v>
      </c>
      <c r="D89" s="55">
        <v>530</v>
      </c>
      <c r="E89" s="55">
        <v>530</v>
      </c>
      <c r="F89" s="55">
        <v>519</v>
      </c>
      <c r="G89" s="55">
        <v>530</v>
      </c>
      <c r="H89" s="55">
        <v>520</v>
      </c>
      <c r="I89" s="55">
        <v>511.5</v>
      </c>
      <c r="J89" s="56">
        <f t="shared" si="12"/>
        <v>0</v>
      </c>
      <c r="K89" s="56">
        <f t="shared" si="13"/>
        <v>0</v>
      </c>
      <c r="L89" s="56">
        <f t="shared" si="14"/>
        <v>0</v>
      </c>
      <c r="M89" s="56">
        <f t="shared" si="6"/>
        <v>0</v>
      </c>
      <c r="N89" s="56">
        <f t="shared" si="7"/>
        <v>0</v>
      </c>
      <c r="O89" s="56">
        <f t="shared" si="15"/>
        <v>0</v>
      </c>
    </row>
    <row r="90" spans="1:15" x14ac:dyDescent="0.2">
      <c r="A90" s="52" t="s">
        <v>36</v>
      </c>
      <c r="B90" s="53">
        <f>H16/10</f>
        <v>0</v>
      </c>
      <c r="C90" s="54" t="s">
        <v>69</v>
      </c>
      <c r="D90" s="55">
        <v>860</v>
      </c>
      <c r="E90" s="55">
        <v>0</v>
      </c>
      <c r="F90" s="55">
        <v>0</v>
      </c>
      <c r="G90" s="55">
        <v>950</v>
      </c>
      <c r="H90" s="55">
        <v>0</v>
      </c>
      <c r="I90" s="55">
        <v>0</v>
      </c>
      <c r="J90" s="56">
        <f t="shared" si="12"/>
        <v>0</v>
      </c>
      <c r="K90" s="56">
        <f t="shared" si="13"/>
        <v>0</v>
      </c>
      <c r="L90" s="56">
        <f t="shared" si="14"/>
        <v>0</v>
      </c>
      <c r="M90" s="56">
        <f t="shared" si="6"/>
        <v>0</v>
      </c>
      <c r="N90" s="56">
        <f t="shared" si="7"/>
        <v>0</v>
      </c>
      <c r="O90" s="56">
        <f t="shared" si="15"/>
        <v>0</v>
      </c>
    </row>
    <row r="91" spans="1:15" x14ac:dyDescent="0.2">
      <c r="A91" s="52" t="s">
        <v>37</v>
      </c>
      <c r="B91" s="53">
        <f>H16/10</f>
        <v>0</v>
      </c>
      <c r="C91" s="54" t="s">
        <v>69</v>
      </c>
      <c r="D91" s="55">
        <v>0</v>
      </c>
      <c r="E91" s="55">
        <v>0</v>
      </c>
      <c r="F91" s="55">
        <v>0</v>
      </c>
      <c r="G91" s="55">
        <v>0</v>
      </c>
      <c r="H91" s="55">
        <v>0</v>
      </c>
      <c r="I91" s="55">
        <v>0</v>
      </c>
      <c r="J91" s="56">
        <f t="shared" si="12"/>
        <v>0</v>
      </c>
      <c r="K91" s="56">
        <f t="shared" si="13"/>
        <v>0</v>
      </c>
      <c r="L91" s="56">
        <f t="shared" si="14"/>
        <v>0</v>
      </c>
      <c r="M91" s="56">
        <f t="shared" si="6"/>
        <v>0</v>
      </c>
      <c r="N91" s="56">
        <f t="shared" si="7"/>
        <v>0</v>
      </c>
      <c r="O91" s="56">
        <f t="shared" si="15"/>
        <v>0</v>
      </c>
    </row>
    <row r="92" spans="1:15" x14ac:dyDescent="0.2">
      <c r="A92" s="52" t="s">
        <v>38</v>
      </c>
      <c r="B92" s="53">
        <f>H16/10</f>
        <v>0</v>
      </c>
      <c r="C92" s="54" t="s">
        <v>69</v>
      </c>
      <c r="D92" s="55">
        <v>0</v>
      </c>
      <c r="E92" s="55">
        <v>0</v>
      </c>
      <c r="F92" s="55">
        <v>0</v>
      </c>
      <c r="G92" s="55">
        <v>0</v>
      </c>
      <c r="H92" s="55">
        <v>0</v>
      </c>
      <c r="I92" s="55">
        <v>0</v>
      </c>
      <c r="J92" s="56">
        <f t="shared" si="12"/>
        <v>0</v>
      </c>
      <c r="K92" s="56">
        <f t="shared" si="13"/>
        <v>0</v>
      </c>
      <c r="L92" s="56">
        <f t="shared" si="14"/>
        <v>0</v>
      </c>
      <c r="M92" s="56">
        <f t="shared" si="6"/>
        <v>0</v>
      </c>
      <c r="N92" s="56">
        <f t="shared" si="7"/>
        <v>0</v>
      </c>
      <c r="O92" s="56">
        <f t="shared" si="15"/>
        <v>0</v>
      </c>
    </row>
    <row r="93" spans="1:15" x14ac:dyDescent="0.2">
      <c r="A93" s="48" t="s">
        <v>61</v>
      </c>
      <c r="B93" s="49" t="s">
        <v>68</v>
      </c>
      <c r="C93" s="50" t="s">
        <v>80</v>
      </c>
      <c r="D93" s="50" t="s">
        <v>82</v>
      </c>
      <c r="E93" s="50" t="s">
        <v>84</v>
      </c>
      <c r="F93" s="50" t="s">
        <v>148</v>
      </c>
      <c r="G93" s="50" t="s">
        <v>83</v>
      </c>
      <c r="H93" s="50" t="s">
        <v>149</v>
      </c>
      <c r="I93" s="50" t="s">
        <v>150</v>
      </c>
      <c r="J93" s="51" t="s">
        <v>151</v>
      </c>
      <c r="K93" s="49" t="s">
        <v>151</v>
      </c>
      <c r="L93" s="51" t="s">
        <v>151</v>
      </c>
      <c r="M93" s="49" t="s">
        <v>151</v>
      </c>
      <c r="N93" s="51" t="s">
        <v>151</v>
      </c>
      <c r="O93" s="49" t="s">
        <v>151</v>
      </c>
    </row>
    <row r="94" spans="1:15" x14ac:dyDescent="0.2">
      <c r="A94" s="52" t="s">
        <v>74</v>
      </c>
      <c r="B94" s="57">
        <v>0</v>
      </c>
      <c r="C94" s="54" t="s">
        <v>73</v>
      </c>
      <c r="D94" s="55">
        <v>75</v>
      </c>
      <c r="E94" s="55">
        <v>47</v>
      </c>
      <c r="F94" s="55">
        <v>49.04</v>
      </c>
      <c r="G94" s="55">
        <v>66</v>
      </c>
      <c r="H94" s="55">
        <v>69</v>
      </c>
      <c r="I94" s="55">
        <v>68.14</v>
      </c>
      <c r="J94" s="56">
        <f t="shared" si="12"/>
        <v>0</v>
      </c>
      <c r="K94" s="56">
        <f t="shared" si="13"/>
        <v>0</v>
      </c>
      <c r="L94" s="56">
        <f t="shared" si="14"/>
        <v>0</v>
      </c>
      <c r="M94" s="56">
        <f t="shared" si="6"/>
        <v>0</v>
      </c>
      <c r="N94" s="56">
        <f t="shared" si="7"/>
        <v>0</v>
      </c>
      <c r="O94" s="56">
        <f t="shared" si="15"/>
        <v>0</v>
      </c>
    </row>
    <row r="95" spans="1:15" x14ac:dyDescent="0.2">
      <c r="A95" s="52" t="s">
        <v>117</v>
      </c>
      <c r="B95" s="57">
        <v>0</v>
      </c>
      <c r="C95" s="54" t="s">
        <v>72</v>
      </c>
      <c r="D95" s="55">
        <v>6.75</v>
      </c>
      <c r="E95" s="55">
        <v>6</v>
      </c>
      <c r="F95" s="55">
        <v>6.26</v>
      </c>
      <c r="G95" s="55">
        <v>7.42</v>
      </c>
      <c r="H95" s="55">
        <v>7.71</v>
      </c>
      <c r="I95" s="55">
        <v>7.6</v>
      </c>
      <c r="J95" s="56">
        <f t="shared" si="12"/>
        <v>0</v>
      </c>
      <c r="K95" s="56">
        <f t="shared" si="13"/>
        <v>0</v>
      </c>
      <c r="L95" s="56">
        <f t="shared" si="14"/>
        <v>0</v>
      </c>
      <c r="M95" s="56">
        <f t="shared" si="6"/>
        <v>0</v>
      </c>
      <c r="N95" s="56">
        <f t="shared" si="7"/>
        <v>0</v>
      </c>
      <c r="O95" s="56">
        <f t="shared" si="15"/>
        <v>0</v>
      </c>
    </row>
    <row r="96" spans="1:15" x14ac:dyDescent="0.2">
      <c r="A96" s="52" t="s">
        <v>118</v>
      </c>
      <c r="B96" s="57">
        <v>0</v>
      </c>
      <c r="C96" s="54" t="s">
        <v>72</v>
      </c>
      <c r="D96" s="55">
        <v>29.5</v>
      </c>
      <c r="E96" s="55">
        <v>23.5</v>
      </c>
      <c r="F96" s="55">
        <v>24.29</v>
      </c>
      <c r="G96" s="55">
        <v>22.86</v>
      </c>
      <c r="H96" s="55">
        <v>24</v>
      </c>
      <c r="I96" s="55">
        <v>0</v>
      </c>
      <c r="J96" s="56">
        <f t="shared" si="12"/>
        <v>0</v>
      </c>
      <c r="K96" s="56">
        <f t="shared" si="13"/>
        <v>0</v>
      </c>
      <c r="L96" s="56">
        <f t="shared" si="14"/>
        <v>0</v>
      </c>
      <c r="M96" s="56">
        <f t="shared" si="6"/>
        <v>0</v>
      </c>
      <c r="N96" s="56">
        <f t="shared" si="7"/>
        <v>0</v>
      </c>
      <c r="O96" s="56">
        <f t="shared" si="15"/>
        <v>0</v>
      </c>
    </row>
    <row r="97" spans="1:15" x14ac:dyDescent="0.2">
      <c r="A97" s="52" t="s">
        <v>174</v>
      </c>
      <c r="B97" s="57">
        <v>0</v>
      </c>
      <c r="C97" s="54" t="s">
        <v>72</v>
      </c>
      <c r="D97" s="55">
        <v>21.55</v>
      </c>
      <c r="E97" s="55">
        <v>21.55</v>
      </c>
      <c r="F97" s="55">
        <v>21.55</v>
      </c>
      <c r="G97" s="55">
        <v>21.55</v>
      </c>
      <c r="H97" s="55">
        <v>21.55</v>
      </c>
      <c r="I97" s="55">
        <v>21.55</v>
      </c>
      <c r="J97" s="56">
        <f t="shared" si="12"/>
        <v>0</v>
      </c>
      <c r="K97" s="56">
        <f t="shared" si="13"/>
        <v>0</v>
      </c>
      <c r="L97" s="56">
        <f t="shared" si="14"/>
        <v>0</v>
      </c>
      <c r="M97" s="56">
        <f t="shared" si="6"/>
        <v>0</v>
      </c>
      <c r="N97" s="56">
        <f t="shared" si="7"/>
        <v>0</v>
      </c>
      <c r="O97" s="56">
        <f t="shared" si="15"/>
        <v>0</v>
      </c>
    </row>
    <row r="98" spans="1:15" x14ac:dyDescent="0.2">
      <c r="A98" s="52" t="s">
        <v>175</v>
      </c>
      <c r="B98" s="57">
        <v>0</v>
      </c>
      <c r="C98" s="54" t="s">
        <v>72</v>
      </c>
      <c r="D98" s="55">
        <v>28.41</v>
      </c>
      <c r="E98" s="55">
        <v>28.41</v>
      </c>
      <c r="F98" s="55">
        <v>28.41</v>
      </c>
      <c r="G98" s="55">
        <v>28.41</v>
      </c>
      <c r="H98" s="55">
        <v>28.41</v>
      </c>
      <c r="I98" s="55">
        <v>28.41</v>
      </c>
      <c r="J98" s="56">
        <f t="shared" si="12"/>
        <v>0</v>
      </c>
      <c r="K98" s="56">
        <f t="shared" si="13"/>
        <v>0</v>
      </c>
      <c r="L98" s="56">
        <f t="shared" si="14"/>
        <v>0</v>
      </c>
      <c r="M98" s="56">
        <f t="shared" si="6"/>
        <v>0</v>
      </c>
      <c r="N98" s="56">
        <f t="shared" si="7"/>
        <v>0</v>
      </c>
      <c r="O98" s="56">
        <f t="shared" si="15"/>
        <v>0</v>
      </c>
    </row>
    <row r="99" spans="1:15" x14ac:dyDescent="0.2">
      <c r="A99" s="52" t="s">
        <v>39</v>
      </c>
      <c r="B99" s="57">
        <v>0</v>
      </c>
      <c r="C99" s="54" t="s">
        <v>72</v>
      </c>
      <c r="D99" s="55">
        <v>29.5</v>
      </c>
      <c r="E99" s="55">
        <v>0</v>
      </c>
      <c r="F99" s="55">
        <v>24.67</v>
      </c>
      <c r="G99" s="55">
        <v>28.89</v>
      </c>
      <c r="H99" s="55">
        <v>0</v>
      </c>
      <c r="I99" s="55">
        <v>26.95</v>
      </c>
      <c r="J99" s="56">
        <f t="shared" si="12"/>
        <v>0</v>
      </c>
      <c r="K99" s="56">
        <f t="shared" si="13"/>
        <v>0</v>
      </c>
      <c r="L99" s="56">
        <f t="shared" si="14"/>
        <v>0</v>
      </c>
      <c r="M99" s="56">
        <f t="shared" si="6"/>
        <v>0</v>
      </c>
      <c r="N99" s="56">
        <f t="shared" si="7"/>
        <v>0</v>
      </c>
      <c r="O99" s="56">
        <f t="shared" si="15"/>
        <v>0</v>
      </c>
    </row>
    <row r="100" spans="1:15" x14ac:dyDescent="0.2">
      <c r="A100" s="52" t="s">
        <v>173</v>
      </c>
      <c r="B100" s="57">
        <v>0</v>
      </c>
      <c r="C100" s="54" t="s">
        <v>72</v>
      </c>
      <c r="D100" s="55">
        <v>40.32</v>
      </c>
      <c r="E100" s="55">
        <v>40.32</v>
      </c>
      <c r="F100" s="55">
        <v>40.32</v>
      </c>
      <c r="G100" s="55">
        <v>40.32</v>
      </c>
      <c r="H100" s="55">
        <v>40.32</v>
      </c>
      <c r="I100" s="55">
        <v>40.32</v>
      </c>
      <c r="J100" s="56">
        <f t="shared" si="12"/>
        <v>0</v>
      </c>
      <c r="K100" s="56">
        <f t="shared" si="13"/>
        <v>0</v>
      </c>
      <c r="L100" s="56">
        <f t="shared" si="14"/>
        <v>0</v>
      </c>
      <c r="M100" s="56">
        <f t="shared" si="6"/>
        <v>0</v>
      </c>
      <c r="N100" s="56">
        <f t="shared" si="7"/>
        <v>0</v>
      </c>
      <c r="O100" s="56">
        <f t="shared" si="15"/>
        <v>0</v>
      </c>
    </row>
    <row r="101" spans="1:15" x14ac:dyDescent="0.2">
      <c r="A101" s="52" t="s">
        <v>40</v>
      </c>
      <c r="B101" s="57">
        <v>0</v>
      </c>
      <c r="C101" s="54" t="s">
        <v>72</v>
      </c>
      <c r="D101" s="55">
        <v>0</v>
      </c>
      <c r="E101" s="55">
        <v>0</v>
      </c>
      <c r="F101" s="55">
        <v>0</v>
      </c>
      <c r="G101" s="55">
        <v>0</v>
      </c>
      <c r="H101" s="55">
        <v>0</v>
      </c>
      <c r="I101" s="55">
        <v>0</v>
      </c>
      <c r="J101" s="56">
        <f t="shared" si="12"/>
        <v>0</v>
      </c>
      <c r="K101" s="56">
        <f t="shared" si="13"/>
        <v>0</v>
      </c>
      <c r="L101" s="56">
        <f t="shared" si="14"/>
        <v>0</v>
      </c>
      <c r="M101" s="56">
        <f t="shared" si="6"/>
        <v>0</v>
      </c>
      <c r="N101" s="56">
        <f t="shared" si="7"/>
        <v>0</v>
      </c>
      <c r="O101" s="56">
        <f t="shared" si="15"/>
        <v>0</v>
      </c>
    </row>
    <row r="102" spans="1:15" x14ac:dyDescent="0.2">
      <c r="A102" s="52" t="s">
        <v>41</v>
      </c>
      <c r="B102" s="57">
        <v>0</v>
      </c>
      <c r="C102" s="54" t="s">
        <v>72</v>
      </c>
      <c r="D102" s="55">
        <v>64</v>
      </c>
      <c r="E102" s="55">
        <v>64</v>
      </c>
      <c r="F102" s="55">
        <v>64</v>
      </c>
      <c r="G102" s="55">
        <v>64</v>
      </c>
      <c r="H102" s="55">
        <v>64</v>
      </c>
      <c r="I102" s="55">
        <v>64</v>
      </c>
      <c r="J102" s="56">
        <f t="shared" si="12"/>
        <v>0</v>
      </c>
      <c r="K102" s="56">
        <f t="shared" si="13"/>
        <v>0</v>
      </c>
      <c r="L102" s="56">
        <f t="shared" si="14"/>
        <v>0</v>
      </c>
      <c r="M102" s="56">
        <f t="shared" si="6"/>
        <v>0</v>
      </c>
      <c r="N102" s="56">
        <f t="shared" si="7"/>
        <v>0</v>
      </c>
      <c r="O102" s="56">
        <f t="shared" si="15"/>
        <v>0</v>
      </c>
    </row>
    <row r="103" spans="1:15" x14ac:dyDescent="0.2">
      <c r="A103" s="52" t="s">
        <v>42</v>
      </c>
      <c r="B103" s="57">
        <v>0</v>
      </c>
      <c r="C103" s="54" t="s">
        <v>69</v>
      </c>
      <c r="D103" s="55">
        <v>256</v>
      </c>
      <c r="E103" s="55">
        <v>253</v>
      </c>
      <c r="F103" s="55">
        <v>262.55</v>
      </c>
      <c r="G103" s="55">
        <v>244.12</v>
      </c>
      <c r="H103" s="55">
        <v>253</v>
      </c>
      <c r="I103" s="55">
        <v>227.48</v>
      </c>
      <c r="J103" s="56">
        <f t="shared" si="12"/>
        <v>0</v>
      </c>
      <c r="K103" s="56">
        <f t="shared" si="13"/>
        <v>0</v>
      </c>
      <c r="L103" s="56">
        <f t="shared" si="14"/>
        <v>0</v>
      </c>
      <c r="M103" s="56">
        <f t="shared" si="6"/>
        <v>0</v>
      </c>
      <c r="N103" s="56">
        <f t="shared" si="7"/>
        <v>0</v>
      </c>
      <c r="O103" s="56">
        <f t="shared" si="15"/>
        <v>0</v>
      </c>
    </row>
    <row r="104" spans="1:15" x14ac:dyDescent="0.2">
      <c r="A104" s="52" t="s">
        <v>49</v>
      </c>
      <c r="B104" s="53">
        <f>J9/100</f>
        <v>0</v>
      </c>
      <c r="C104" s="54" t="s">
        <v>69</v>
      </c>
      <c r="D104" s="55">
        <v>178</v>
      </c>
      <c r="E104" s="55">
        <v>180</v>
      </c>
      <c r="F104" s="55">
        <v>0</v>
      </c>
      <c r="G104" s="55">
        <v>0</v>
      </c>
      <c r="H104" s="55">
        <v>0</v>
      </c>
      <c r="I104" s="55">
        <v>213.27</v>
      </c>
      <c r="J104" s="56">
        <f t="shared" si="12"/>
        <v>0</v>
      </c>
      <c r="K104" s="56">
        <f t="shared" si="13"/>
        <v>0</v>
      </c>
      <c r="L104" s="56">
        <f t="shared" si="14"/>
        <v>0</v>
      </c>
      <c r="M104" s="56">
        <f t="shared" si="6"/>
        <v>0</v>
      </c>
      <c r="N104" s="56">
        <f t="shared" si="7"/>
        <v>0</v>
      </c>
      <c r="O104" s="56">
        <f t="shared" si="15"/>
        <v>0</v>
      </c>
    </row>
    <row r="105" spans="1:15" x14ac:dyDescent="0.2">
      <c r="A105" s="52" t="s">
        <v>50</v>
      </c>
      <c r="B105" s="57">
        <v>0</v>
      </c>
      <c r="C105" s="54" t="s">
        <v>69</v>
      </c>
      <c r="D105" s="55">
        <v>392.75</v>
      </c>
      <c r="E105" s="55">
        <v>201</v>
      </c>
      <c r="F105" s="55">
        <v>0</v>
      </c>
      <c r="G105" s="55">
        <v>252.73</v>
      </c>
      <c r="H105" s="55">
        <v>0</v>
      </c>
      <c r="I105" s="55">
        <v>0</v>
      </c>
      <c r="J105" s="56">
        <f t="shared" si="12"/>
        <v>0</v>
      </c>
      <c r="K105" s="56">
        <f t="shared" si="13"/>
        <v>0</v>
      </c>
      <c r="L105" s="56">
        <f t="shared" si="14"/>
        <v>0</v>
      </c>
      <c r="M105" s="56">
        <f t="shared" si="6"/>
        <v>0</v>
      </c>
      <c r="N105" s="56">
        <f t="shared" si="7"/>
        <v>0</v>
      </c>
      <c r="O105" s="56">
        <f t="shared" si="15"/>
        <v>0</v>
      </c>
    </row>
    <row r="106" spans="1:15" x14ac:dyDescent="0.2">
      <c r="A106" s="52" t="s">
        <v>142</v>
      </c>
      <c r="B106" s="53">
        <f>B3/5</f>
        <v>0</v>
      </c>
      <c r="C106" s="54" t="s">
        <v>75</v>
      </c>
      <c r="D106" s="55">
        <v>102.5</v>
      </c>
      <c r="E106" s="55">
        <v>95</v>
      </c>
      <c r="F106" s="55">
        <v>97.06</v>
      </c>
      <c r="G106" s="55">
        <v>113.28</v>
      </c>
      <c r="H106" s="55">
        <v>112</v>
      </c>
      <c r="I106" s="55">
        <v>106.77</v>
      </c>
      <c r="J106" s="56">
        <f t="shared" si="12"/>
        <v>0</v>
      </c>
      <c r="K106" s="56">
        <f t="shared" si="13"/>
        <v>0</v>
      </c>
      <c r="L106" s="56">
        <f t="shared" si="14"/>
        <v>0</v>
      </c>
      <c r="M106" s="56">
        <f t="shared" si="6"/>
        <v>0</v>
      </c>
      <c r="N106" s="56">
        <f t="shared" si="7"/>
        <v>0</v>
      </c>
      <c r="O106" s="56">
        <f t="shared" si="15"/>
        <v>0</v>
      </c>
    </row>
    <row r="107" spans="1:15" x14ac:dyDescent="0.2">
      <c r="A107" s="52" t="s">
        <v>143</v>
      </c>
      <c r="B107" s="53">
        <f>B7/5</f>
        <v>0</v>
      </c>
      <c r="C107" s="54" t="s">
        <v>75</v>
      </c>
      <c r="D107" s="55">
        <v>102.5</v>
      </c>
      <c r="E107" s="55">
        <v>95</v>
      </c>
      <c r="F107" s="55">
        <v>97.06</v>
      </c>
      <c r="G107" s="55">
        <v>113.28</v>
      </c>
      <c r="H107" s="55">
        <v>112</v>
      </c>
      <c r="I107" s="55">
        <v>106.77</v>
      </c>
      <c r="J107" s="56">
        <f t="shared" si="12"/>
        <v>0</v>
      </c>
      <c r="K107" s="56">
        <f t="shared" si="13"/>
        <v>0</v>
      </c>
      <c r="L107" s="56">
        <f t="shared" si="14"/>
        <v>0</v>
      </c>
      <c r="M107" s="56">
        <f t="shared" si="6"/>
        <v>0</v>
      </c>
      <c r="N107" s="56">
        <f t="shared" si="7"/>
        <v>0</v>
      </c>
      <c r="O107" s="56">
        <f t="shared" si="15"/>
        <v>0</v>
      </c>
    </row>
    <row r="108" spans="1:15" x14ac:dyDescent="0.2">
      <c r="A108" s="52" t="s">
        <v>46</v>
      </c>
      <c r="B108" s="57">
        <v>0</v>
      </c>
      <c r="C108" s="54" t="s">
        <v>72</v>
      </c>
      <c r="D108" s="55">
        <v>5</v>
      </c>
      <c r="E108" s="55">
        <v>4.5</v>
      </c>
      <c r="F108" s="55">
        <v>6.49</v>
      </c>
      <c r="G108" s="55">
        <v>5.29</v>
      </c>
      <c r="H108" s="55">
        <v>5.52</v>
      </c>
      <c r="I108" s="55">
        <v>5.47</v>
      </c>
      <c r="J108" s="56">
        <f t="shared" si="12"/>
        <v>0</v>
      </c>
      <c r="K108" s="56">
        <f t="shared" si="13"/>
        <v>0</v>
      </c>
      <c r="L108" s="56">
        <f t="shared" si="14"/>
        <v>0</v>
      </c>
      <c r="M108" s="56">
        <f t="shared" si="6"/>
        <v>0</v>
      </c>
      <c r="N108" s="56">
        <f t="shared" si="7"/>
        <v>0</v>
      </c>
      <c r="O108" s="56">
        <f t="shared" si="15"/>
        <v>0</v>
      </c>
    </row>
    <row r="109" spans="1:15" x14ac:dyDescent="0.2">
      <c r="A109" s="52" t="s">
        <v>47</v>
      </c>
      <c r="B109" s="57">
        <v>0</v>
      </c>
      <c r="C109" s="54" t="s">
        <v>72</v>
      </c>
      <c r="D109" s="55">
        <v>8.5</v>
      </c>
      <c r="E109" s="55">
        <v>6.5</v>
      </c>
      <c r="F109" s="55">
        <v>0</v>
      </c>
      <c r="G109" s="55">
        <v>8.82</v>
      </c>
      <c r="H109" s="55">
        <v>9.33</v>
      </c>
      <c r="I109" s="55">
        <v>9.15</v>
      </c>
      <c r="J109" s="56">
        <f t="shared" si="12"/>
        <v>0</v>
      </c>
      <c r="K109" s="56">
        <f t="shared" si="13"/>
        <v>0</v>
      </c>
      <c r="L109" s="56">
        <f t="shared" si="14"/>
        <v>0</v>
      </c>
      <c r="M109" s="56">
        <f t="shared" si="6"/>
        <v>0</v>
      </c>
      <c r="N109" s="56">
        <f t="shared" si="7"/>
        <v>0</v>
      </c>
      <c r="O109" s="56">
        <f t="shared" si="15"/>
        <v>0</v>
      </c>
    </row>
    <row r="110" spans="1:15" x14ac:dyDescent="0.2">
      <c r="A110" s="52" t="s">
        <v>48</v>
      </c>
      <c r="B110" s="57">
        <v>0</v>
      </c>
      <c r="C110" s="54" t="s">
        <v>72</v>
      </c>
      <c r="D110" s="55">
        <v>0</v>
      </c>
      <c r="E110" s="55">
        <v>0</v>
      </c>
      <c r="F110" s="55">
        <v>0</v>
      </c>
      <c r="G110" s="55">
        <v>18.77</v>
      </c>
      <c r="H110" s="55">
        <v>18.5</v>
      </c>
      <c r="I110" s="55">
        <v>19</v>
      </c>
      <c r="J110" s="56">
        <f t="shared" si="12"/>
        <v>0</v>
      </c>
      <c r="K110" s="56">
        <f t="shared" si="13"/>
        <v>0</v>
      </c>
      <c r="L110" s="56">
        <f t="shared" si="14"/>
        <v>0</v>
      </c>
      <c r="M110" s="56">
        <f t="shared" si="6"/>
        <v>0</v>
      </c>
      <c r="N110" s="56">
        <f t="shared" si="7"/>
        <v>0</v>
      </c>
      <c r="O110" s="56">
        <f t="shared" si="15"/>
        <v>0</v>
      </c>
    </row>
    <row r="111" spans="1:15" x14ac:dyDescent="0.2">
      <c r="A111" s="52" t="s">
        <v>177</v>
      </c>
      <c r="B111" s="57">
        <v>0</v>
      </c>
      <c r="C111" s="54" t="s">
        <v>76</v>
      </c>
      <c r="D111" s="55">
        <v>15.4</v>
      </c>
      <c r="E111" s="55">
        <v>15.03</v>
      </c>
      <c r="F111" s="55">
        <v>0</v>
      </c>
      <c r="G111" s="55">
        <v>21.6</v>
      </c>
      <c r="H111" s="55">
        <v>21.5</v>
      </c>
      <c r="I111" s="55">
        <v>20.16</v>
      </c>
      <c r="J111" s="56">
        <f t="shared" si="12"/>
        <v>0</v>
      </c>
      <c r="K111" s="56">
        <f t="shared" si="13"/>
        <v>0</v>
      </c>
      <c r="L111" s="56">
        <f t="shared" si="14"/>
        <v>0</v>
      </c>
      <c r="M111" s="56">
        <f t="shared" si="6"/>
        <v>0</v>
      </c>
      <c r="N111" s="56">
        <f t="shared" si="7"/>
        <v>0</v>
      </c>
      <c r="O111" s="56">
        <f t="shared" si="15"/>
        <v>0</v>
      </c>
    </row>
    <row r="112" spans="1:15" x14ac:dyDescent="0.2">
      <c r="A112" s="52" t="s">
        <v>176</v>
      </c>
      <c r="B112" s="57">
        <v>0</v>
      </c>
      <c r="C112" s="54" t="s">
        <v>76</v>
      </c>
      <c r="D112" s="55">
        <v>63.12</v>
      </c>
      <c r="E112" s="55">
        <v>30</v>
      </c>
      <c r="F112" s="55">
        <v>30.42</v>
      </c>
      <c r="G112" s="55">
        <v>34.56</v>
      </c>
      <c r="H112" s="55">
        <v>0</v>
      </c>
      <c r="I112" s="55">
        <v>0</v>
      </c>
      <c r="J112" s="56">
        <f t="shared" si="12"/>
        <v>0</v>
      </c>
      <c r="K112" s="56">
        <f t="shared" si="13"/>
        <v>0</v>
      </c>
      <c r="L112" s="56">
        <f t="shared" si="14"/>
        <v>0</v>
      </c>
      <c r="M112" s="56">
        <f t="shared" si="6"/>
        <v>0</v>
      </c>
      <c r="N112" s="56">
        <f t="shared" si="7"/>
        <v>0</v>
      </c>
      <c r="O112" s="56">
        <f t="shared" si="15"/>
        <v>0</v>
      </c>
    </row>
    <row r="113" spans="1:15" x14ac:dyDescent="0.2">
      <c r="A113" s="52" t="s">
        <v>43</v>
      </c>
      <c r="B113" s="57">
        <v>0</v>
      </c>
      <c r="C113" s="54" t="s">
        <v>77</v>
      </c>
      <c r="D113" s="55">
        <v>0</v>
      </c>
      <c r="E113" s="55">
        <v>0</v>
      </c>
      <c r="F113" s="55">
        <v>0</v>
      </c>
      <c r="G113" s="55">
        <v>0</v>
      </c>
      <c r="H113" s="55">
        <v>0</v>
      </c>
      <c r="I113" s="55">
        <v>0</v>
      </c>
      <c r="J113" s="56">
        <f t="shared" si="12"/>
        <v>0</v>
      </c>
      <c r="K113" s="56">
        <f t="shared" si="13"/>
        <v>0</v>
      </c>
      <c r="L113" s="56">
        <f t="shared" si="14"/>
        <v>0</v>
      </c>
      <c r="M113" s="56">
        <f t="shared" si="6"/>
        <v>0</v>
      </c>
      <c r="N113" s="56">
        <f t="shared" si="7"/>
        <v>0</v>
      </c>
      <c r="O113" s="56">
        <f t="shared" si="15"/>
        <v>0</v>
      </c>
    </row>
    <row r="114" spans="1:15" x14ac:dyDescent="0.2">
      <c r="A114" s="52" t="s">
        <v>44</v>
      </c>
      <c r="B114" s="53">
        <v>0</v>
      </c>
      <c r="C114" s="54" t="s">
        <v>72</v>
      </c>
      <c r="D114" s="55">
        <v>5.75</v>
      </c>
      <c r="E114" s="55">
        <v>7.3</v>
      </c>
      <c r="F114" s="55">
        <v>6.47</v>
      </c>
      <c r="G114" s="55">
        <v>5.87</v>
      </c>
      <c r="H114" s="55">
        <v>6</v>
      </c>
      <c r="I114" s="55">
        <v>6.5</v>
      </c>
      <c r="J114" s="56">
        <f t="shared" si="12"/>
        <v>0</v>
      </c>
      <c r="K114" s="56">
        <f t="shared" si="13"/>
        <v>0</v>
      </c>
      <c r="L114" s="56">
        <f t="shared" si="14"/>
        <v>0</v>
      </c>
      <c r="M114" s="56">
        <f t="shared" si="6"/>
        <v>0</v>
      </c>
      <c r="N114" s="56">
        <f t="shared" si="7"/>
        <v>0</v>
      </c>
      <c r="O114" s="56">
        <f t="shared" si="15"/>
        <v>0</v>
      </c>
    </row>
    <row r="115" spans="1:15" x14ac:dyDescent="0.2">
      <c r="A115" s="52" t="s">
        <v>45</v>
      </c>
      <c r="B115" s="53">
        <v>0</v>
      </c>
      <c r="C115" s="54" t="s">
        <v>77</v>
      </c>
      <c r="D115" s="55">
        <v>0</v>
      </c>
      <c r="E115" s="55">
        <v>0</v>
      </c>
      <c r="F115" s="55">
        <v>0</v>
      </c>
      <c r="G115" s="55">
        <v>0</v>
      </c>
      <c r="H115" s="55">
        <v>0</v>
      </c>
      <c r="I115" s="55">
        <v>0</v>
      </c>
      <c r="J115" s="56">
        <f t="shared" si="12"/>
        <v>0</v>
      </c>
      <c r="K115" s="56">
        <f t="shared" si="13"/>
        <v>0</v>
      </c>
      <c r="L115" s="56">
        <f t="shared" si="14"/>
        <v>0</v>
      </c>
      <c r="M115" s="56">
        <f t="shared" si="6"/>
        <v>0</v>
      </c>
      <c r="N115" s="56">
        <f t="shared" si="7"/>
        <v>0</v>
      </c>
      <c r="O115" s="56">
        <f t="shared" si="15"/>
        <v>0</v>
      </c>
    </row>
    <row r="116" spans="1:15" x14ac:dyDescent="0.2">
      <c r="A116" s="52" t="s">
        <v>91</v>
      </c>
      <c r="B116" s="57">
        <f>B41</f>
        <v>0</v>
      </c>
      <c r="C116" s="54" t="s">
        <v>69</v>
      </c>
      <c r="D116" s="55">
        <v>418</v>
      </c>
      <c r="E116" s="55">
        <v>415</v>
      </c>
      <c r="F116" s="55">
        <v>430.88</v>
      </c>
      <c r="G116" s="55">
        <v>441.9</v>
      </c>
      <c r="H116" s="55">
        <v>0</v>
      </c>
      <c r="I116" s="55">
        <v>405</v>
      </c>
      <c r="J116" s="56">
        <f t="shared" si="12"/>
        <v>0</v>
      </c>
      <c r="K116" s="56">
        <f t="shared" si="13"/>
        <v>0</v>
      </c>
      <c r="L116" s="56">
        <f t="shared" si="14"/>
        <v>0</v>
      </c>
      <c r="M116" s="56">
        <f t="shared" si="6"/>
        <v>0</v>
      </c>
      <c r="N116" s="56">
        <f t="shared" si="7"/>
        <v>0</v>
      </c>
      <c r="O116" s="56">
        <f t="shared" si="15"/>
        <v>0</v>
      </c>
    </row>
    <row r="117" spans="1:15" x14ac:dyDescent="0.2">
      <c r="A117" s="52" t="s">
        <v>51</v>
      </c>
      <c r="B117" s="57">
        <v>0</v>
      </c>
      <c r="C117" s="54" t="s">
        <v>75</v>
      </c>
      <c r="D117" s="55">
        <v>54.25</v>
      </c>
      <c r="E117" s="55">
        <v>59.85</v>
      </c>
      <c r="F117" s="55">
        <v>0</v>
      </c>
      <c r="G117" s="55">
        <v>60.1</v>
      </c>
      <c r="H117" s="55">
        <v>0</v>
      </c>
      <c r="I117" s="55">
        <v>0</v>
      </c>
      <c r="J117" s="56">
        <f t="shared" si="12"/>
        <v>0</v>
      </c>
      <c r="K117" s="56">
        <f t="shared" si="13"/>
        <v>0</v>
      </c>
      <c r="L117" s="56">
        <f t="shared" si="14"/>
        <v>0</v>
      </c>
      <c r="M117" s="56">
        <f t="shared" ref="M117:M121" si="16">B117*G117</f>
        <v>0</v>
      </c>
      <c r="N117" s="56">
        <f t="shared" ref="N117:N121" si="17">B117*H117</f>
        <v>0</v>
      </c>
      <c r="O117" s="56">
        <f t="shared" si="15"/>
        <v>0</v>
      </c>
    </row>
    <row r="118" spans="1:15" x14ac:dyDescent="0.2">
      <c r="A118" s="52" t="s">
        <v>172</v>
      </c>
      <c r="B118" s="57">
        <v>0</v>
      </c>
      <c r="C118" s="54" t="s">
        <v>72</v>
      </c>
      <c r="D118" s="55">
        <v>0</v>
      </c>
      <c r="E118" s="55">
        <v>0</v>
      </c>
      <c r="F118" s="55">
        <v>0</v>
      </c>
      <c r="G118" s="55">
        <v>34.33</v>
      </c>
      <c r="H118" s="55">
        <v>0</v>
      </c>
      <c r="I118" s="55">
        <v>0</v>
      </c>
      <c r="J118" s="56">
        <f t="shared" si="12"/>
        <v>0</v>
      </c>
      <c r="K118" s="56">
        <f t="shared" si="13"/>
        <v>0</v>
      </c>
      <c r="L118" s="56">
        <f t="shared" si="14"/>
        <v>0</v>
      </c>
      <c r="M118" s="56">
        <f t="shared" si="16"/>
        <v>0</v>
      </c>
      <c r="N118" s="56">
        <f t="shared" si="17"/>
        <v>0</v>
      </c>
      <c r="O118" s="56">
        <f t="shared" si="15"/>
        <v>0</v>
      </c>
    </row>
    <row r="119" spans="1:15" x14ac:dyDescent="0.2">
      <c r="A119" s="52" t="s">
        <v>122</v>
      </c>
      <c r="B119" s="57">
        <v>0</v>
      </c>
      <c r="C119" s="54" t="s">
        <v>99</v>
      </c>
      <c r="D119" s="55">
        <v>0</v>
      </c>
      <c r="E119" s="55">
        <v>0</v>
      </c>
      <c r="F119" s="55">
        <v>0</v>
      </c>
      <c r="G119" s="55">
        <v>0</v>
      </c>
      <c r="H119" s="55">
        <v>0</v>
      </c>
      <c r="I119" s="55">
        <v>0</v>
      </c>
      <c r="J119" s="56">
        <f t="shared" si="12"/>
        <v>0</v>
      </c>
      <c r="K119" s="56">
        <f t="shared" si="13"/>
        <v>0</v>
      </c>
      <c r="L119" s="56">
        <f t="shared" si="14"/>
        <v>0</v>
      </c>
      <c r="M119" s="56">
        <f t="shared" si="16"/>
        <v>0</v>
      </c>
      <c r="N119" s="56">
        <f t="shared" si="17"/>
        <v>0</v>
      </c>
      <c r="O119" s="56">
        <f t="shared" si="15"/>
        <v>0</v>
      </c>
    </row>
    <row r="120" spans="1:15" x14ac:dyDescent="0.2">
      <c r="A120" s="52" t="s">
        <v>122</v>
      </c>
      <c r="B120" s="57">
        <v>0</v>
      </c>
      <c r="C120" s="54" t="s">
        <v>99</v>
      </c>
      <c r="D120" s="55">
        <v>0</v>
      </c>
      <c r="E120" s="55">
        <v>0</v>
      </c>
      <c r="F120" s="55">
        <v>0</v>
      </c>
      <c r="G120" s="55">
        <v>0</v>
      </c>
      <c r="H120" s="55">
        <v>0</v>
      </c>
      <c r="I120" s="55">
        <v>0</v>
      </c>
      <c r="J120" s="56">
        <f t="shared" si="12"/>
        <v>0</v>
      </c>
      <c r="K120" s="56">
        <f t="shared" si="13"/>
        <v>0</v>
      </c>
      <c r="L120" s="56">
        <f t="shared" si="14"/>
        <v>0</v>
      </c>
      <c r="M120" s="56">
        <f t="shared" si="16"/>
        <v>0</v>
      </c>
      <c r="N120" s="56">
        <f t="shared" si="17"/>
        <v>0</v>
      </c>
      <c r="O120" s="56">
        <f t="shared" si="15"/>
        <v>0</v>
      </c>
    </row>
    <row r="121" spans="1:15" x14ac:dyDescent="0.2">
      <c r="A121" s="52" t="s">
        <v>122</v>
      </c>
      <c r="B121" s="57">
        <v>0</v>
      </c>
      <c r="C121" s="54" t="s">
        <v>99</v>
      </c>
      <c r="D121" s="55">
        <v>0</v>
      </c>
      <c r="E121" s="55">
        <v>0</v>
      </c>
      <c r="F121" s="55">
        <v>0</v>
      </c>
      <c r="G121" s="55">
        <v>0</v>
      </c>
      <c r="H121" s="55">
        <v>0</v>
      </c>
      <c r="I121" s="55">
        <v>0</v>
      </c>
      <c r="J121" s="56">
        <f t="shared" si="12"/>
        <v>0</v>
      </c>
      <c r="K121" s="56">
        <f t="shared" si="13"/>
        <v>0</v>
      </c>
      <c r="L121" s="56">
        <f t="shared" si="14"/>
        <v>0</v>
      </c>
      <c r="M121" s="56">
        <f t="shared" si="16"/>
        <v>0</v>
      </c>
      <c r="N121" s="56">
        <f t="shared" si="17"/>
        <v>0</v>
      </c>
      <c r="O121" s="56">
        <f t="shared" si="15"/>
        <v>0</v>
      </c>
    </row>
    <row r="122" spans="1:15" s="44" customFormat="1" ht="12" thickBot="1" x14ac:dyDescent="0.25">
      <c r="A122" s="52" t="s">
        <v>122</v>
      </c>
      <c r="B122" s="57">
        <v>0</v>
      </c>
      <c r="C122" s="54" t="s">
        <v>99</v>
      </c>
      <c r="D122" s="55">
        <v>0</v>
      </c>
      <c r="E122" s="55">
        <v>0</v>
      </c>
      <c r="F122" s="55">
        <v>0</v>
      </c>
      <c r="G122" s="55">
        <v>0</v>
      </c>
      <c r="H122" s="55">
        <v>0</v>
      </c>
      <c r="I122" s="55">
        <v>0</v>
      </c>
      <c r="J122" s="56">
        <f t="shared" si="12"/>
        <v>0</v>
      </c>
      <c r="K122" s="56">
        <f t="shared" si="13"/>
        <v>0</v>
      </c>
      <c r="L122" s="56">
        <f t="shared" si="14"/>
        <v>0</v>
      </c>
      <c r="M122" s="56">
        <f>B122*G122</f>
        <v>0</v>
      </c>
      <c r="N122" s="56">
        <f>B122*H122</f>
        <v>0</v>
      </c>
      <c r="O122" s="56">
        <f t="shared" si="15"/>
        <v>0</v>
      </c>
    </row>
    <row r="123" spans="1:15" s="65" customFormat="1" ht="12.75" thickTop="1" thickBot="1" x14ac:dyDescent="0.25">
      <c r="A123" s="59" t="s">
        <v>52</v>
      </c>
      <c r="B123" s="60"/>
      <c r="C123" s="60"/>
      <c r="D123" s="60"/>
      <c r="E123" s="60"/>
      <c r="F123" s="60"/>
      <c r="G123" s="60"/>
      <c r="H123" s="61"/>
      <c r="I123" s="62"/>
      <c r="J123" s="63">
        <f t="shared" ref="J123:O123" si="18">SUM(J48:J122)</f>
        <v>0</v>
      </c>
      <c r="K123" s="64">
        <f t="shared" si="18"/>
        <v>0</v>
      </c>
      <c r="L123" s="63">
        <f t="shared" si="18"/>
        <v>0</v>
      </c>
      <c r="M123" s="64">
        <f t="shared" si="18"/>
        <v>0</v>
      </c>
      <c r="N123" s="63">
        <f t="shared" si="18"/>
        <v>0</v>
      </c>
      <c r="O123" s="64">
        <f t="shared" si="18"/>
        <v>0</v>
      </c>
    </row>
    <row r="124" spans="1:15" ht="12" thickTop="1" x14ac:dyDescent="0.2">
      <c r="A124" s="66" t="s">
        <v>57</v>
      </c>
      <c r="B124" s="67" t="s">
        <v>68</v>
      </c>
      <c r="C124" s="67" t="s">
        <v>80</v>
      </c>
      <c r="D124" s="67" t="s">
        <v>100</v>
      </c>
      <c r="E124" s="67" t="s">
        <v>101</v>
      </c>
      <c r="F124" s="67"/>
      <c r="G124" s="67"/>
      <c r="H124" s="67"/>
      <c r="I124" s="68"/>
      <c r="J124" s="67" t="s">
        <v>152</v>
      </c>
      <c r="K124" s="69" t="s">
        <v>153</v>
      </c>
      <c r="L124" s="67" t="s">
        <v>154</v>
      </c>
      <c r="M124" s="69" t="s">
        <v>155</v>
      </c>
      <c r="N124" s="67" t="s">
        <v>156</v>
      </c>
      <c r="O124" s="69" t="s">
        <v>157</v>
      </c>
    </row>
    <row r="125" spans="1:15" x14ac:dyDescent="0.2">
      <c r="A125" s="16" t="s">
        <v>58</v>
      </c>
      <c r="B125" s="17">
        <f>B8*300/2000</f>
        <v>0</v>
      </c>
      <c r="C125" s="25" t="s">
        <v>85</v>
      </c>
      <c r="D125" s="70">
        <v>110</v>
      </c>
      <c r="E125" s="38">
        <f>B125*D125</f>
        <v>0</v>
      </c>
    </row>
    <row r="126" spans="1:15" x14ac:dyDescent="0.2">
      <c r="A126" s="16" t="s">
        <v>59</v>
      </c>
      <c r="B126" s="25">
        <v>0</v>
      </c>
      <c r="C126" s="25" t="s">
        <v>72</v>
      </c>
      <c r="D126" s="70">
        <v>0</v>
      </c>
      <c r="E126" s="37">
        <f t="shared" ref="E126:E129" si="19">B126*D126</f>
        <v>0</v>
      </c>
    </row>
    <row r="127" spans="1:15" x14ac:dyDescent="0.2">
      <c r="A127" s="16" t="s">
        <v>97</v>
      </c>
      <c r="B127" s="17">
        <v>1</v>
      </c>
      <c r="C127" s="25" t="s">
        <v>72</v>
      </c>
      <c r="D127" s="70">
        <v>850</v>
      </c>
      <c r="E127" s="38">
        <f t="shared" si="19"/>
        <v>850</v>
      </c>
    </row>
    <row r="128" spans="1:15" s="71" customFormat="1" ht="12" thickBot="1" x14ac:dyDescent="0.25">
      <c r="A128" s="16" t="s">
        <v>98</v>
      </c>
      <c r="B128" s="25">
        <v>0</v>
      </c>
      <c r="C128" s="25" t="s">
        <v>72</v>
      </c>
      <c r="D128" s="70">
        <v>0</v>
      </c>
      <c r="E128" s="37">
        <f t="shared" si="19"/>
        <v>0</v>
      </c>
      <c r="F128" s="17"/>
      <c r="G128" s="17"/>
      <c r="H128" s="17"/>
      <c r="I128" s="17"/>
      <c r="J128" s="17"/>
      <c r="K128" s="17"/>
      <c r="L128" s="17"/>
      <c r="M128" s="17"/>
      <c r="N128" s="17"/>
      <c r="O128" s="20"/>
    </row>
    <row r="129" spans="1:15" s="78" customFormat="1" ht="12.75" thickTop="1" thickBot="1" x14ac:dyDescent="0.25">
      <c r="A129" s="72" t="s">
        <v>122</v>
      </c>
      <c r="B129" s="73">
        <v>0</v>
      </c>
      <c r="C129" s="73" t="s">
        <v>72</v>
      </c>
      <c r="D129" s="74">
        <v>0</v>
      </c>
      <c r="E129" s="75">
        <f t="shared" si="19"/>
        <v>0</v>
      </c>
      <c r="F129" s="76"/>
      <c r="G129" s="76"/>
      <c r="H129" s="76"/>
      <c r="I129" s="76"/>
      <c r="J129" s="76"/>
      <c r="K129" s="76"/>
      <c r="L129" s="76"/>
      <c r="M129" s="76"/>
      <c r="N129" s="76"/>
      <c r="O129" s="77"/>
    </row>
    <row r="130" spans="1:15" s="78" customFormat="1" ht="12" thickTop="1" x14ac:dyDescent="0.2">
      <c r="A130" s="79" t="s">
        <v>86</v>
      </c>
      <c r="B130" s="80"/>
      <c r="C130" s="81"/>
      <c r="D130" s="81"/>
      <c r="E130" s="81" t="s">
        <v>102</v>
      </c>
      <c r="F130" s="81" t="s">
        <v>103</v>
      </c>
      <c r="G130" s="81"/>
      <c r="H130" s="90">
        <v>23797.17</v>
      </c>
      <c r="I130" s="81"/>
      <c r="J130" s="81"/>
      <c r="K130" s="81"/>
      <c r="L130" s="81"/>
      <c r="M130" s="81"/>
      <c r="N130" s="81"/>
      <c r="O130" s="82"/>
    </row>
    <row r="131" spans="1:15" s="78" customFormat="1" x14ac:dyDescent="0.2">
      <c r="A131" s="79" t="s">
        <v>87</v>
      </c>
      <c r="B131" s="81"/>
      <c r="C131" s="81"/>
      <c r="D131" s="81"/>
      <c r="E131" s="81"/>
      <c r="F131" s="81"/>
      <c r="G131" s="81"/>
      <c r="H131" s="91">
        <f>F42+H42</f>
        <v>0</v>
      </c>
      <c r="I131" s="81"/>
      <c r="J131" s="83" t="s">
        <v>104</v>
      </c>
      <c r="K131" s="83"/>
      <c r="L131" s="83"/>
      <c r="M131" s="83"/>
      <c r="N131" s="83"/>
      <c r="O131" s="82">
        <f>F42</f>
        <v>0</v>
      </c>
    </row>
    <row r="132" spans="1:15" s="78" customFormat="1" x14ac:dyDescent="0.2">
      <c r="A132" s="79" t="s">
        <v>57</v>
      </c>
      <c r="B132" s="81"/>
      <c r="C132" s="81"/>
      <c r="D132" s="81"/>
      <c r="E132" s="81"/>
      <c r="F132" s="81"/>
      <c r="G132" s="81"/>
      <c r="H132" s="91">
        <f>SUM(E125:E129)</f>
        <v>850</v>
      </c>
      <c r="I132" s="81"/>
      <c r="J132" s="83" t="s">
        <v>106</v>
      </c>
      <c r="K132" s="83"/>
      <c r="L132" s="83"/>
      <c r="M132" s="83"/>
      <c r="N132" s="83"/>
      <c r="O132" s="84">
        <f>O131/B15</f>
        <v>0</v>
      </c>
    </row>
    <row r="133" spans="1:15" s="78" customFormat="1" x14ac:dyDescent="0.2">
      <c r="A133" s="79" t="s">
        <v>88</v>
      </c>
      <c r="B133" s="81"/>
      <c r="C133" s="81"/>
      <c r="D133" s="81"/>
      <c r="E133" s="81"/>
      <c r="F133" s="81"/>
      <c r="G133" s="81"/>
      <c r="H133" s="91">
        <f>SUM(H130:H131)</f>
        <v>23797.17</v>
      </c>
      <c r="I133" s="81"/>
      <c r="J133" s="83" t="s">
        <v>105</v>
      </c>
      <c r="K133" s="83"/>
      <c r="L133" s="83"/>
      <c r="M133" s="83"/>
      <c r="N133" s="83"/>
      <c r="O133" s="84">
        <f>O132/B13</f>
        <v>0</v>
      </c>
    </row>
    <row r="134" spans="1:15" s="78" customFormat="1" x14ac:dyDescent="0.2">
      <c r="A134" s="79"/>
      <c r="B134" s="81"/>
      <c r="C134" s="81"/>
      <c r="D134" s="81"/>
      <c r="E134" s="81"/>
      <c r="F134" s="81"/>
      <c r="G134" s="81"/>
      <c r="H134" s="81"/>
      <c r="I134" s="81"/>
      <c r="J134" s="83" t="s">
        <v>107</v>
      </c>
      <c r="K134" s="83"/>
      <c r="L134" s="83"/>
      <c r="M134" s="83"/>
      <c r="N134" s="83"/>
      <c r="O134" s="84" t="e">
        <f>B8/O133</f>
        <v>#DIV/0!</v>
      </c>
    </row>
    <row r="135" spans="1:15" s="35" customFormat="1" x14ac:dyDescent="0.2">
      <c r="A135" s="79" t="s">
        <v>89</v>
      </c>
      <c r="B135" s="80"/>
      <c r="C135" s="81"/>
      <c r="D135" s="81"/>
      <c r="E135" s="81"/>
      <c r="F135" s="81"/>
      <c r="G135" s="81"/>
      <c r="H135" s="85">
        <v>0.48</v>
      </c>
      <c r="I135" s="81"/>
      <c r="J135" s="81"/>
      <c r="K135" s="81"/>
      <c r="L135" s="81"/>
      <c r="M135" s="81"/>
      <c r="N135" s="81"/>
      <c r="O135" s="82"/>
    </row>
    <row r="136" spans="1:15" x14ac:dyDescent="0.2">
      <c r="A136" s="86" t="s">
        <v>90</v>
      </c>
      <c r="B136" s="87"/>
      <c r="C136" s="87"/>
      <c r="D136" s="87"/>
      <c r="E136" s="87"/>
      <c r="F136" s="87"/>
      <c r="G136" s="87"/>
      <c r="H136" s="92">
        <f>H133+(H133*H135)+H132</f>
        <v>36069.811600000001</v>
      </c>
      <c r="I136" s="87"/>
      <c r="J136" s="88" t="s">
        <v>108</v>
      </c>
      <c r="K136" s="88"/>
      <c r="L136" s="88"/>
      <c r="M136" s="88"/>
      <c r="N136" s="88"/>
      <c r="O136" s="89" t="e">
        <f>H136/B8</f>
        <v>#DIV/0!</v>
      </c>
    </row>
  </sheetData>
  <dataValidations count="1">
    <dataValidation type="list" allowBlank="1" showInputMessage="1" showErrorMessage="1" sqref="F130" xr:uid="{00000000-0002-0000-0000-000000000000}">
      <formula1>"ABC_FS, ABC_GAF, RSG_FS, RSG_VS"</formula1>
    </dataValidation>
  </dataValidations>
  <pageMargins left="0.7" right="0.7" top="0.75" bottom="0.75" header="0.3" footer="0.3"/>
  <pageSetup orientation="landscape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Material_Choice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Thor Allestad</dc:creator>
  <cp:lastModifiedBy>Thor Allestad</cp:lastModifiedBy>
  <cp:lastPrinted>2017-11-02T16:48:45Z</cp:lastPrinted>
  <dcterms:created xsi:type="dcterms:W3CDTF">2017-03-20T14:24:15Z</dcterms:created>
  <dcterms:modified xsi:type="dcterms:W3CDTF">2017-12-08T16:07:02Z</dcterms:modified>
</cp:coreProperties>
</file>